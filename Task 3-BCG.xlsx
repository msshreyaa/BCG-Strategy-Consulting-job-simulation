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6784BD2-9DFA-411E-AE91-3D7C69CEC47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ompany A" sheetId="1" r:id="rId1"/>
    <sheet name="Company B" sheetId="2" r:id="rId2"/>
    <sheet name="Comparables" sheetId="3" r:id="rId3"/>
    <sheet name="Guiding Sheet" sheetId="4" r:id="rId4"/>
    <sheet name="Company X" sheetId="5" r:id="rId5"/>
  </sheets>
  <calcPr calcId="191029"/>
</workbook>
</file>

<file path=xl/calcChain.xml><?xml version="1.0" encoding="utf-8"?>
<calcChain xmlns="http://schemas.openxmlformats.org/spreadsheetml/2006/main">
  <c r="H27" i="5" l="1"/>
  <c r="B27" i="5"/>
  <c r="N27" i="5" s="1"/>
  <c r="N26" i="5"/>
  <c r="N21" i="5"/>
  <c r="H21" i="5"/>
  <c r="B21" i="5"/>
  <c r="P20" i="5"/>
  <c r="O20" i="5"/>
  <c r="B15" i="5"/>
  <c r="P14" i="5"/>
  <c r="O14" i="5"/>
  <c r="N14" i="5"/>
  <c r="P13" i="5"/>
  <c r="O13" i="5"/>
  <c r="N13" i="5"/>
  <c r="P12" i="5"/>
  <c r="O12" i="5"/>
  <c r="N12" i="5"/>
  <c r="N11" i="5"/>
  <c r="H11" i="5"/>
  <c r="H15" i="5" s="1"/>
  <c r="B11" i="5"/>
  <c r="N10" i="5"/>
  <c r="N9" i="5"/>
  <c r="K19" i="3"/>
  <c r="J19" i="3"/>
  <c r="I19" i="3"/>
  <c r="L19" i="3" s="1"/>
  <c r="L18" i="3"/>
  <c r="K18" i="3"/>
  <c r="J18" i="3"/>
  <c r="I18" i="3"/>
  <c r="C15" i="3"/>
  <c r="B15" i="3"/>
  <c r="D15" i="3" s="1"/>
  <c r="C14" i="3"/>
  <c r="D14" i="3" s="1"/>
  <c r="B14" i="3"/>
  <c r="K13" i="3"/>
  <c r="J13" i="3"/>
  <c r="L13" i="3" s="1"/>
  <c r="I13" i="3"/>
  <c r="L12" i="3"/>
  <c r="K12" i="3"/>
  <c r="J12" i="3"/>
  <c r="I12" i="3"/>
  <c r="C10" i="3"/>
  <c r="B10" i="3"/>
  <c r="D10" i="3" s="1"/>
  <c r="C26" i="5" s="1"/>
  <c r="C9" i="3"/>
  <c r="K5" i="3"/>
  <c r="J5" i="3"/>
  <c r="I5" i="3"/>
  <c r="D4" i="3"/>
  <c r="I26" i="5" s="1"/>
  <c r="J26" i="5" s="1"/>
  <c r="C4" i="3"/>
  <c r="B4" i="3"/>
  <c r="B3" i="3"/>
  <c r="D21" i="2"/>
  <c r="C21" i="2"/>
  <c r="B21" i="2"/>
  <c r="C7" i="2"/>
  <c r="C11" i="2" s="1"/>
  <c r="B7" i="2"/>
  <c r="B11" i="2" s="1"/>
  <c r="D6" i="2"/>
  <c r="C6" i="2"/>
  <c r="B6" i="2"/>
  <c r="D5" i="2"/>
  <c r="D7" i="2" s="1"/>
  <c r="D11" i="2" s="1"/>
  <c r="C5" i="2"/>
  <c r="B5" i="2"/>
  <c r="D21" i="1"/>
  <c r="C21" i="1"/>
  <c r="B21" i="1"/>
  <c r="D16" i="1"/>
  <c r="J3" i="3" s="1"/>
  <c r="C16" i="1"/>
  <c r="I3" i="3" s="1"/>
  <c r="K3" i="3" s="1"/>
  <c r="B16" i="1"/>
  <c r="D9" i="1"/>
  <c r="C9" i="1"/>
  <c r="B9" i="1"/>
  <c r="C7" i="1"/>
  <c r="C11" i="1" s="1"/>
  <c r="D6" i="1"/>
  <c r="C6" i="1"/>
  <c r="B6" i="1"/>
  <c r="D5" i="1"/>
  <c r="D7" i="1" s="1"/>
  <c r="D11" i="1" s="1"/>
  <c r="C5" i="1"/>
  <c r="B5" i="1"/>
  <c r="B7" i="1" s="1"/>
  <c r="B11" i="1" s="1"/>
  <c r="I4" i="3" l="1"/>
  <c r="K4" i="3" s="1"/>
  <c r="J4" i="3"/>
  <c r="O26" i="5"/>
  <c r="D26" i="5"/>
  <c r="P26" i="5" s="1"/>
  <c r="N15" i="5"/>
  <c r="B9" i="3"/>
  <c r="D9" i="3" s="1"/>
  <c r="C19" i="5" s="1"/>
  <c r="C3" i="3"/>
  <c r="D3" i="3" s="1"/>
  <c r="I19" i="5" s="1"/>
  <c r="I21" i="5" l="1"/>
  <c r="J19" i="5"/>
  <c r="I27" i="5"/>
  <c r="O19" i="5"/>
  <c r="C21" i="5"/>
  <c r="D19" i="5"/>
  <c r="C27" i="5"/>
  <c r="O27" i="5" s="1"/>
  <c r="D21" i="5" l="1"/>
  <c r="D27" i="5"/>
  <c r="P19" i="5"/>
  <c r="C22" i="5"/>
  <c r="O22" i="5" s="1"/>
  <c r="C9" i="5"/>
  <c r="C24" i="5"/>
  <c r="O21" i="5"/>
  <c r="J27" i="5"/>
  <c r="J21" i="5"/>
  <c r="I22" i="5"/>
  <c r="I9" i="5"/>
  <c r="I24" i="5"/>
  <c r="I10" i="5" s="1"/>
  <c r="I11" i="5" l="1"/>
  <c r="I15" i="5" s="1"/>
  <c r="I16" i="5" s="1"/>
  <c r="O24" i="5"/>
  <c r="C10" i="5"/>
  <c r="O10" i="5" s="1"/>
  <c r="C11" i="5"/>
  <c r="O9" i="5"/>
  <c r="P27" i="5"/>
  <c r="J22" i="5"/>
  <c r="J9" i="5"/>
  <c r="J11" i="5" s="1"/>
  <c r="J15" i="5" s="1"/>
  <c r="J16" i="5" s="1"/>
  <c r="J24" i="5"/>
  <c r="J10" i="5" s="1"/>
  <c r="D22" i="5"/>
  <c r="D9" i="5"/>
  <c r="D24" i="5"/>
  <c r="P21" i="5"/>
  <c r="P24" i="5" l="1"/>
  <c r="D10" i="5"/>
  <c r="P10" i="5" s="1"/>
  <c r="C15" i="5"/>
  <c r="O11" i="5"/>
  <c r="D11" i="5"/>
  <c r="P9" i="5"/>
  <c r="P22" i="5"/>
  <c r="D15" i="5" l="1"/>
  <c r="P11" i="5"/>
  <c r="C16" i="5"/>
  <c r="O16" i="5" s="1"/>
  <c r="O15" i="5"/>
  <c r="D16" i="5" l="1"/>
  <c r="P16" i="5" s="1"/>
  <c r="P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avoid phrases like 'far away from'. why not directly say X% lower than..
+preston@talentkraft.com.sg
	-Eugene Goh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1" authorId="0" shapeId="0" xr:uid="{00000000-0006-0000-0400-000001000000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as previous year
	-tc={944AF602-234D-4FFE-A521-9417EF70DEB5}</t>
        </r>
      </text>
    </comment>
    <comment ref="C25" authorId="0" shapeId="0" xr:uid="{00000000-0006-0000-0400-000002000000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Gotten from industry percentage increase in mobile services operating revenue
	-tc={A9AB43D0-786C-4F69-8D95-C1F9134CE720}
----
[Threaded comment]
Your version of Excel allows you to read this threaded comment; however, any edits to it will get removed if the file is opened in a newer version of Excel. Learn more: https://go.microsoft.com/fwlink/?linkid=870924
Comment:
    Same as previous year
	-tc={1D6A29A7-BF7B-4FE9-BEAA-944317F4C15D}
----
[Threaded comment]
Your version of Excel allows you to read this threaded comment; however, any edits to it will get removed if the file is opened in a newer version of Excel. Learn more: https://go.microsoft.com/fwlink/?linkid=870924
Comment:
    Assume same each year
	-tc={0A0274E4-48EA-42B7-971D-84883FF30C96}
----
[Threaded comment]
Your version of Excel allows you to read this threaded comment; however, any edits to it will get removed if the file is opened in a newer version of Excel. Learn more: https://go.microsoft.com/fwlink/?linkid=870924
Comment:
    Same as previous year
	-tc={B30FB46E-FED9-41E3-AFB3-F9FF6052D628}
----
[Threaded comment]
Your version of Excel allows you to read this threaded comment; however, any edits to it will get removed if the file is opened in a newer version of Excel. Learn more: https://go.microsoft.com/fwlink/?linkid=870924
Comment:
    Assume cost of sales is a percentage of operating revenue and use Year 0's percentages
	-tc={22FBAD40-AEA0-4350-B022-FDA9E75AB9F8}</t>
        </r>
      </text>
    </comment>
  </commentList>
</comments>
</file>

<file path=xl/sharedStrings.xml><?xml version="1.0" encoding="utf-8"?>
<sst xmlns="http://schemas.openxmlformats.org/spreadsheetml/2006/main" count="242" uniqueCount="83">
  <si>
    <t>Company A Financial Statement</t>
  </si>
  <si>
    <t>Note:</t>
  </si>
  <si>
    <t>Company A launched it's first mobile handset leasing plans at the start of Year 1</t>
  </si>
  <si>
    <t>S$ Million</t>
  </si>
  <si>
    <t>Year 0</t>
  </si>
  <si>
    <t>Year 1</t>
  </si>
  <si>
    <t>Year 2</t>
  </si>
  <si>
    <t>It aims to make premium handsets more affordable to customers</t>
  </si>
  <si>
    <t>Total</t>
  </si>
  <si>
    <t>Income Statement</t>
  </si>
  <si>
    <t>Operating revenue</t>
  </si>
  <si>
    <t>Operating expenses</t>
  </si>
  <si>
    <t>EBITDA</t>
  </si>
  <si>
    <t>Net interest expense</t>
  </si>
  <si>
    <t>Taxation</t>
  </si>
  <si>
    <t>Depreciation &amp; amortisation</t>
  </si>
  <si>
    <t>Net profit</t>
  </si>
  <si>
    <t>Operating Revenue &amp; Expenses Composition</t>
  </si>
  <si>
    <t>Mobile Service</t>
  </si>
  <si>
    <t>Others</t>
  </si>
  <si>
    <t>Mobile Subscribers ('000s)</t>
  </si>
  <si>
    <t>ARPU*</t>
  </si>
  <si>
    <t>Company B Financial Statement</t>
  </si>
  <si>
    <t>Company B operates in the same market as Company A, and has not launched leasing plans</t>
  </si>
  <si>
    <t xml:space="preserve"> </t>
  </si>
  <si>
    <t>Growth(%)</t>
  </si>
  <si>
    <t>Industry Average</t>
  </si>
  <si>
    <t>Comparables</t>
  </si>
  <si>
    <t>Average</t>
  </si>
  <si>
    <t>Comments</t>
  </si>
  <si>
    <t>Mobile Services Revenue</t>
  </si>
  <si>
    <t>Operating Revenue Growth</t>
  </si>
  <si>
    <t>Mobile Subscribers('000)</t>
  </si>
  <si>
    <t>Overall industry for mobile subscribers is growing at 2.03% on average.</t>
  </si>
  <si>
    <t>Net Profit Growth</t>
  </si>
  <si>
    <t>*Average Revenue Per User</t>
  </si>
  <si>
    <t>Company A</t>
  </si>
  <si>
    <t>Market Share (%)</t>
  </si>
  <si>
    <t>Higher growth in ARPU than Company B</t>
  </si>
  <si>
    <t>Company B grows 2.58% below average,likely due to no leasing.</t>
  </si>
  <si>
    <t>Decrease in market share again,due to no leasing option</t>
  </si>
  <si>
    <t>Lower growth  od ARPU than Company A</t>
  </si>
  <si>
    <t>Guiding Sheet</t>
  </si>
  <si>
    <t>What are the key steps you need to arrive at the answer?</t>
  </si>
  <si>
    <t>You are trying to find the incremental impact of introducing handset leasing. To do this, you need to estimate what happens if you introduce leasing vs do not introduce leasing.</t>
  </si>
  <si>
    <t>5 steps to solving this task</t>
  </si>
  <si>
    <t>Step 1. Identify the metrics that are most important</t>
  </si>
  <si>
    <t>Step 2. To estimate the no leasing case, you apply the industry average growth rates for the relevant metrics for Company X</t>
  </si>
  <si>
    <t>Step 3. To estimate the leasing case, you apply Company A growth rates</t>
  </si>
  <si>
    <t>Step 4. Make logical estimates for all other figures, using historical data</t>
  </si>
  <si>
    <t xml:space="preserve">Step 5. Calculate the impact of handset leasing for Company X </t>
  </si>
  <si>
    <t xml:space="preserve">1a. Net profit </t>
  </si>
  <si>
    <t>Ultimately the most important number, but it is a dependant variable, and hence will need to be calculated</t>
  </si>
  <si>
    <t>1b. Operating Revenue</t>
  </si>
  <si>
    <t>This is the biggest driver of net profit as most other aspects remain constant</t>
  </si>
  <si>
    <t>1c. ARPU</t>
  </si>
  <si>
    <t>As an additional measure of performance</t>
  </si>
  <si>
    <t>2a. Estimate industry average growth rates by combining the data for Company A and Company B for the key metrics</t>
  </si>
  <si>
    <t>2b. Apply the industry average to forecast Company X performance if handset leasing is not introduced</t>
  </si>
  <si>
    <t>Step 3. To estimate the leasing case, you apply Company A growth rates to Company X</t>
  </si>
  <si>
    <t>4a. Some metrics are likely to be a fixed ratio of revenue or profits</t>
  </si>
  <si>
    <t>4b. For others, the best estimate is just to assume it will remain constant</t>
  </si>
  <si>
    <t>5a. To show the difference in Company X's key metrics with and without handset leasing, you subtract the numbers in step (2) from step (3) and (4)</t>
  </si>
  <si>
    <t>Company X Financial Statement (handset leasing implemented)</t>
  </si>
  <si>
    <t>Company X Financial Statement (handset leasing not implemented)</t>
  </si>
  <si>
    <t>Difference in Company X Financial Statement with and without handset leasing</t>
  </si>
  <si>
    <t>Comment</t>
  </si>
  <si>
    <t>Net finance expense</t>
  </si>
  <si>
    <t>Growth Rate</t>
  </si>
  <si>
    <t>Average growth rate is 10.22%.0.07% higher than the industry average</t>
  </si>
  <si>
    <t>Growth rate</t>
  </si>
  <si>
    <t>Net profit Growth of 6.145% is lower than industry average of 10.15%</t>
  </si>
  <si>
    <t>Difference of 4.08% growth rate in profits</t>
  </si>
  <si>
    <t xml:space="preserve"> Assume growth 6.44%</t>
  </si>
  <si>
    <t>Assume 3.85% growth i.e, industry average</t>
  </si>
  <si>
    <t>Assume constant</t>
  </si>
  <si>
    <t>Grwoth of 2.22% is 1.53% below industry average of 3.85%</t>
  </si>
  <si>
    <t>1.5% difference in operating revenue with handset leasing</t>
  </si>
  <si>
    <t>Assume constant expense ratio</t>
  </si>
  <si>
    <t>Assume 3.90% growth</t>
  </si>
  <si>
    <t>ARPU is below industry average $56.56 however, it reflects positive growth</t>
  </si>
  <si>
    <t>No leasing leads to significally lower ARPU</t>
  </si>
  <si>
    <t>$1 difference by 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</si>
</sst>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&quot;$&quot;#,##0.00"/>
  </numFmts>
  <fonts count="23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152227"/>
      <name val="Arial"/>
    </font>
    <font>
      <b/>
      <sz val="10"/>
      <color theme="0"/>
      <name val="Arial"/>
    </font>
    <font>
      <sz val="10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1"/>
      <color rgb="FF7E3794"/>
      <name val="Inconsolata"/>
    </font>
    <font>
      <b/>
      <sz val="10"/>
      <color rgb="FFEFEFEF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24"/>
      <color theme="1"/>
      <name val="Arial"/>
    </font>
    <font>
      <b/>
      <sz val="18"/>
      <color rgb="FF000000"/>
      <name val="Arial"/>
    </font>
    <font>
      <sz val="14"/>
      <color rgb="FF000000"/>
      <name val="Arial"/>
    </font>
    <font>
      <sz val="12"/>
      <color rgb="FF000000"/>
      <name val="Arial"/>
    </font>
    <font>
      <b/>
      <sz val="14"/>
      <color rgb="FF000000"/>
      <name val="Arial"/>
    </font>
    <font>
      <sz val="12"/>
      <color theme="1"/>
      <name val="Arial"/>
    </font>
    <font>
      <sz val="12"/>
      <color rgb="FF000000"/>
      <name val="Roboto"/>
    </font>
    <font>
      <b/>
      <u/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C22114"/>
        <bgColor rgb="FFC2211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rgb="FF00FFFF"/>
      </patternFill>
    </fill>
  </fills>
  <borders count="3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6" fillId="3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6" fillId="3" borderId="7" xfId="0" applyNumberFormat="1" applyFont="1" applyFill="1" applyBorder="1" applyAlignment="1">
      <alignment horizontal="center" vertical="center"/>
    </xf>
    <xf numFmtId="0" fontId="8" fillId="4" borderId="8" xfId="0" applyFont="1" applyFill="1" applyBorder="1" applyAlignment="1">
      <alignment vertical="center"/>
    </xf>
    <xf numFmtId="164" fontId="7" fillId="4" borderId="9" xfId="0" applyNumberFormat="1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164" fontId="7" fillId="4" borderId="7" xfId="0" applyNumberFormat="1" applyFont="1" applyFill="1" applyBorder="1" applyAlignment="1">
      <alignment vertical="center"/>
    </xf>
    <xf numFmtId="0" fontId="9" fillId="4" borderId="8" xfId="0" applyFont="1" applyFill="1" applyBorder="1" applyAlignment="1">
      <alignment vertical="center"/>
    </xf>
    <xf numFmtId="164" fontId="9" fillId="4" borderId="9" xfId="0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164" fontId="3" fillId="4" borderId="7" xfId="0" applyNumberFormat="1" applyFont="1" applyFill="1" applyBorder="1" applyAlignment="1">
      <alignment vertical="center"/>
    </xf>
    <xf numFmtId="0" fontId="9" fillId="4" borderId="11" xfId="0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164" fontId="7" fillId="4" borderId="11" xfId="0" applyNumberFormat="1" applyFont="1" applyFill="1" applyBorder="1" applyAlignment="1">
      <alignment vertical="center"/>
    </xf>
    <xf numFmtId="0" fontId="10" fillId="4" borderId="12" xfId="0" applyFont="1" applyFill="1" applyBorder="1" applyAlignment="1">
      <alignment horizontal="left" vertical="center"/>
    </xf>
    <xf numFmtId="164" fontId="9" fillId="4" borderId="8" xfId="0" applyNumberFormat="1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164" fontId="4" fillId="4" borderId="5" xfId="0" applyNumberFormat="1" applyFont="1" applyFill="1" applyBorder="1" applyAlignment="1">
      <alignment vertical="center"/>
    </xf>
    <xf numFmtId="0" fontId="3" fillId="0" borderId="0" xfId="0" applyFont="1"/>
    <xf numFmtId="0" fontId="11" fillId="5" borderId="8" xfId="0" applyFont="1" applyFill="1" applyBorder="1"/>
    <xf numFmtId="0" fontId="7" fillId="4" borderId="9" xfId="0" applyFont="1" applyFill="1" applyBorder="1" applyAlignment="1">
      <alignment vertical="center"/>
    </xf>
    <xf numFmtId="164" fontId="7" fillId="4" borderId="13" xfId="0" applyNumberFormat="1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164" fontId="9" fillId="4" borderId="14" xfId="0" applyNumberFormat="1" applyFont="1" applyFill="1" applyBorder="1" applyAlignment="1">
      <alignment vertical="center"/>
    </xf>
    <xf numFmtId="0" fontId="9" fillId="4" borderId="12" xfId="0" applyFont="1" applyFill="1" applyBorder="1" applyAlignment="1">
      <alignment vertical="center"/>
    </xf>
    <xf numFmtId="164" fontId="9" fillId="4" borderId="13" xfId="0" applyNumberFormat="1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3" fontId="7" fillId="4" borderId="8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3" fontId="7" fillId="4" borderId="14" xfId="0" applyNumberFormat="1" applyFont="1" applyFill="1" applyBorder="1" applyAlignment="1">
      <alignment vertical="center"/>
    </xf>
    <xf numFmtId="0" fontId="4" fillId="5" borderId="14" xfId="0" applyFont="1" applyFill="1" applyBorder="1"/>
    <xf numFmtId="3" fontId="7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4" fontId="9" fillId="4" borderId="10" xfId="0" applyNumberFormat="1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164" fontId="7" fillId="4" borderId="7" xfId="0" applyNumberFormat="1" applyFont="1" applyFill="1" applyBorder="1" applyAlignment="1">
      <alignment horizontal="right" vertical="center"/>
    </xf>
    <xf numFmtId="164" fontId="9" fillId="4" borderId="14" xfId="0" applyNumberFormat="1" applyFont="1" applyFill="1" applyBorder="1" applyAlignment="1">
      <alignment horizontal="right" vertical="center"/>
    </xf>
    <xf numFmtId="164" fontId="9" fillId="4" borderId="16" xfId="0" applyNumberFormat="1" applyFont="1" applyFill="1" applyBorder="1" applyAlignment="1">
      <alignment horizontal="right" vertical="center"/>
    </xf>
    <xf numFmtId="164" fontId="9" fillId="4" borderId="9" xfId="0" applyNumberFormat="1" applyFont="1" applyFill="1" applyBorder="1" applyAlignment="1">
      <alignment horizontal="right" vertical="center"/>
    </xf>
    <xf numFmtId="164" fontId="9" fillId="4" borderId="13" xfId="0" applyNumberFormat="1" applyFont="1" applyFill="1" applyBorder="1" applyAlignment="1">
      <alignment horizontal="right" vertical="center"/>
    </xf>
    <xf numFmtId="0" fontId="13" fillId="8" borderId="14" xfId="0" applyFont="1" applyFill="1" applyBorder="1"/>
    <xf numFmtId="0" fontId="13" fillId="9" borderId="14" xfId="0" applyFont="1" applyFill="1" applyBorder="1"/>
    <xf numFmtId="0" fontId="13" fillId="8" borderId="14" xfId="0" applyFont="1" applyFill="1" applyBorder="1" applyAlignment="1">
      <alignment horizontal="center"/>
    </xf>
    <xf numFmtId="0" fontId="13" fillId="9" borderId="14" xfId="0" applyFont="1" applyFill="1" applyBorder="1" applyAlignment="1">
      <alignment horizontal="center"/>
    </xf>
    <xf numFmtId="0" fontId="14" fillId="0" borderId="14" xfId="0" applyFont="1" applyBorder="1"/>
    <xf numFmtId="10" fontId="14" fillId="0" borderId="14" xfId="0" applyNumberFormat="1" applyFont="1" applyBorder="1"/>
    <xf numFmtId="10" fontId="14" fillId="10" borderId="14" xfId="0" applyNumberFormat="1" applyFont="1" applyFill="1" applyBorder="1"/>
    <xf numFmtId="165" fontId="14" fillId="0" borderId="14" xfId="0" applyNumberFormat="1" applyFont="1" applyBorder="1"/>
    <xf numFmtId="165" fontId="14" fillId="10" borderId="14" xfId="0" applyNumberFormat="1" applyFont="1" applyFill="1" applyBorder="1"/>
    <xf numFmtId="0" fontId="14" fillId="0" borderId="0" xfId="0" applyFont="1"/>
    <xf numFmtId="0" fontId="12" fillId="6" borderId="14" xfId="0" applyFont="1" applyFill="1" applyBorder="1" applyAlignment="1">
      <alignment horizontal="center"/>
    </xf>
    <xf numFmtId="0" fontId="14" fillId="0" borderId="14" xfId="0" applyFont="1" applyBorder="1" applyAlignment="1">
      <alignment wrapText="1"/>
    </xf>
    <xf numFmtId="0" fontId="14" fillId="0" borderId="14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21" fillId="5" borderId="8" xfId="0" applyFont="1" applyFill="1" applyBorder="1" applyAlignment="1">
      <alignment wrapText="1"/>
    </xf>
    <xf numFmtId="0" fontId="19" fillId="5" borderId="8" xfId="0" applyFont="1" applyFill="1" applyBorder="1" applyAlignment="1">
      <alignment vertical="center"/>
    </xf>
    <xf numFmtId="1" fontId="6" fillId="3" borderId="5" xfId="0" applyNumberFormat="1" applyFont="1" applyFill="1" applyBorder="1" applyAlignment="1">
      <alignment horizontal="center" vertical="center"/>
    </xf>
    <xf numFmtId="1" fontId="6" fillId="13" borderId="5" xfId="0" applyNumberFormat="1" applyFont="1" applyFill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center" vertical="center"/>
    </xf>
    <xf numFmtId="1" fontId="6" fillId="13" borderId="7" xfId="0" applyNumberFormat="1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/>
    </xf>
    <xf numFmtId="0" fontId="7" fillId="4" borderId="25" xfId="0" applyFont="1" applyFill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164" fontId="3" fillId="4" borderId="27" xfId="0" applyNumberFormat="1" applyFont="1" applyFill="1" applyBorder="1" applyAlignment="1">
      <alignment vertical="center"/>
    </xf>
    <xf numFmtId="0" fontId="3" fillId="4" borderId="25" xfId="0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164" fontId="9" fillId="4" borderId="0" xfId="0" applyNumberFormat="1" applyFont="1" applyFill="1" applyAlignment="1">
      <alignment vertical="center"/>
    </xf>
    <xf numFmtId="0" fontId="9" fillId="4" borderId="2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164" fontId="7" fillId="4" borderId="0" xfId="0" applyNumberFormat="1" applyFont="1" applyFill="1" applyAlignment="1">
      <alignment vertical="center"/>
    </xf>
    <xf numFmtId="10" fontId="7" fillId="4" borderId="0" xfId="0" applyNumberFormat="1" applyFont="1" applyFill="1" applyAlignment="1">
      <alignment vertical="center"/>
    </xf>
    <xf numFmtId="0" fontId="3" fillId="11" borderId="0" xfId="0" applyFont="1" applyFill="1" applyAlignment="1">
      <alignment vertical="center" wrapText="1"/>
    </xf>
    <xf numFmtId="0" fontId="7" fillId="4" borderId="28" xfId="0" applyFont="1" applyFill="1" applyBorder="1" applyAlignment="1">
      <alignment vertical="center"/>
    </xf>
    <xf numFmtId="164" fontId="7" fillId="4" borderId="29" xfId="0" applyNumberFormat="1" applyFont="1" applyFill="1" applyBorder="1" applyAlignment="1">
      <alignment vertical="center"/>
    </xf>
    <xf numFmtId="10" fontId="7" fillId="4" borderId="29" xfId="0" applyNumberFormat="1" applyFont="1" applyFill="1" applyBorder="1" applyAlignment="1">
      <alignment vertical="center"/>
    </xf>
    <xf numFmtId="0" fontId="7" fillId="4" borderId="30" xfId="0" applyFont="1" applyFill="1" applyBorder="1" applyAlignment="1">
      <alignment vertical="center"/>
    </xf>
    <xf numFmtId="164" fontId="7" fillId="4" borderId="31" xfId="0" applyNumberFormat="1" applyFont="1" applyFill="1" applyBorder="1" applyAlignment="1">
      <alignment vertical="center"/>
    </xf>
    <xf numFmtId="164" fontId="4" fillId="4" borderId="9" xfId="0" applyNumberFormat="1" applyFont="1" applyFill="1" applyBorder="1" applyAlignment="1">
      <alignment vertical="center"/>
    </xf>
    <xf numFmtId="164" fontId="4" fillId="12" borderId="9" xfId="0" applyNumberFormat="1" applyFont="1" applyFill="1" applyBorder="1" applyAlignment="1">
      <alignment vertical="center"/>
    </xf>
    <xf numFmtId="0" fontId="3" fillId="11" borderId="0" xfId="0" applyFont="1" applyFill="1" applyAlignment="1">
      <alignment vertical="center"/>
    </xf>
    <xf numFmtId="3" fontId="9" fillId="12" borderId="9" xfId="0" applyNumberFormat="1" applyFont="1" applyFill="1" applyBorder="1" applyAlignment="1">
      <alignment vertical="center"/>
    </xf>
    <xf numFmtId="164" fontId="3" fillId="4" borderId="7" xfId="0" applyNumberFormat="1" applyFont="1" applyFill="1" applyBorder="1" applyAlignment="1">
      <alignment horizontal="right" vertical="center"/>
    </xf>
    <xf numFmtId="165" fontId="7" fillId="12" borderId="7" xfId="0" applyNumberFormat="1" applyFont="1" applyFill="1" applyBorder="1" applyAlignment="1">
      <alignment horizontal="right" vertical="center"/>
    </xf>
    <xf numFmtId="164" fontId="7" fillId="12" borderId="7" xfId="0" applyNumberFormat="1" applyFont="1" applyFill="1" applyBorder="1" applyAlignment="1">
      <alignment horizontal="right" vertical="center"/>
    </xf>
    <xf numFmtId="0" fontId="4" fillId="4" borderId="9" xfId="0" applyFont="1" applyFill="1" applyBorder="1" applyAlignment="1">
      <alignment vertical="center"/>
    </xf>
    <xf numFmtId="164" fontId="9" fillId="4" borderId="32" xfId="0" applyNumberFormat="1" applyFont="1" applyFill="1" applyBorder="1" applyAlignment="1">
      <alignment vertical="center"/>
    </xf>
    <xf numFmtId="10" fontId="9" fillId="4" borderId="32" xfId="0" applyNumberFormat="1" applyFont="1" applyFill="1" applyBorder="1" applyAlignment="1">
      <alignment vertical="center"/>
    </xf>
    <xf numFmtId="164" fontId="9" fillId="4" borderId="32" xfId="0" applyNumberFormat="1" applyFont="1" applyFill="1" applyBorder="1" applyAlignment="1">
      <alignment horizontal="right" vertical="center"/>
    </xf>
    <xf numFmtId="10" fontId="9" fillId="4" borderId="32" xfId="0" applyNumberFormat="1" applyFont="1" applyFill="1" applyBorder="1" applyAlignment="1">
      <alignment horizontal="right" vertical="center"/>
    </xf>
    <xf numFmtId="10" fontId="9" fillId="4" borderId="27" xfId="0" applyNumberFormat="1" applyFont="1" applyFill="1" applyBorder="1" applyAlignment="1">
      <alignment horizontal="right" vertical="center"/>
    </xf>
    <xf numFmtId="0" fontId="4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1" fontId="7" fillId="4" borderId="8" xfId="0" applyNumberFormat="1" applyFont="1" applyFill="1" applyBorder="1" applyAlignment="1">
      <alignment vertical="center"/>
    </xf>
    <xf numFmtId="3" fontId="7" fillId="12" borderId="14" xfId="0" applyNumberFormat="1" applyFont="1" applyFill="1" applyBorder="1" applyAlignment="1">
      <alignment vertical="center"/>
    </xf>
    <xf numFmtId="3" fontId="3" fillId="4" borderId="14" xfId="0" applyNumberFormat="1" applyFont="1" applyFill="1" applyBorder="1" applyAlignment="1">
      <alignment vertical="center"/>
    </xf>
    <xf numFmtId="1" fontId="7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6" fillId="3" borderId="4" xfId="0" applyFont="1" applyFill="1" applyBorder="1" applyAlignment="1">
      <alignment vertical="center"/>
    </xf>
    <xf numFmtId="0" fontId="2" fillId="0" borderId="6" xfId="0" applyFont="1" applyBorder="1"/>
    <xf numFmtId="0" fontId="12" fillId="6" borderId="17" xfId="0" applyFont="1" applyFill="1" applyBorder="1" applyAlignment="1">
      <alignment horizontal="center"/>
    </xf>
    <xf numFmtId="0" fontId="2" fillId="0" borderId="21" xfId="0" applyFont="1" applyBorder="1"/>
    <xf numFmtId="0" fontId="14" fillId="0" borderId="18" xfId="0" applyFont="1" applyBorder="1"/>
    <xf numFmtId="0" fontId="2" fillId="0" borderId="20" xfId="0" applyFont="1" applyBorder="1"/>
    <xf numFmtId="0" fontId="13" fillId="7" borderId="18" xfId="0" applyFont="1" applyFill="1" applyBorder="1" applyAlignment="1">
      <alignment horizontal="center"/>
    </xf>
    <xf numFmtId="0" fontId="2" fillId="0" borderId="19" xfId="0" applyFont="1" applyBorder="1"/>
    <xf numFmtId="0" fontId="13" fillId="8" borderId="18" xfId="0" applyFont="1" applyFill="1" applyBorder="1" applyAlignment="1">
      <alignment horizontal="center"/>
    </xf>
    <xf numFmtId="0" fontId="15" fillId="11" borderId="22" xfId="0" applyFont="1" applyFill="1" applyBorder="1" applyAlignment="1">
      <alignment wrapText="1"/>
    </xf>
    <xf numFmtId="0" fontId="2" fillId="0" borderId="23" xfId="0" applyFont="1" applyBorder="1"/>
    <xf numFmtId="0" fontId="16" fillId="0" borderId="0" xfId="0" applyFont="1" applyAlignment="1">
      <alignment vertical="center" wrapText="1"/>
    </xf>
    <xf numFmtId="0" fontId="0" fillId="0" borderId="0" xfId="0"/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" fontId="1" fillId="13" borderId="17" xfId="0" applyNumberFormat="1" applyFont="1" applyFill="1" applyBorder="1" applyAlignment="1">
      <alignment horizontal="center" vertical="center"/>
    </xf>
    <xf numFmtId="0" fontId="2" fillId="0" borderId="24" xfId="0" applyFont="1" applyBorder="1"/>
    <xf numFmtId="0" fontId="19" fillId="14" borderId="8" xfId="0" applyFont="1" applyFill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19" fillId="14" borderId="34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D1" workbookViewId="0">
      <selection sqref="A1:D1"/>
    </sheetView>
  </sheetViews>
  <sheetFormatPr defaultColWidth="12.6328125" defaultRowHeight="15" customHeight="1" x14ac:dyDescent="0.25"/>
  <cols>
    <col min="1" max="1" width="38.90625" customWidth="1"/>
    <col min="2" max="4" width="14.90625" customWidth="1"/>
    <col min="5" max="26" width="10.7265625" customWidth="1"/>
  </cols>
  <sheetData>
    <row r="1" spans="1:26" ht="12.75" customHeight="1" x14ac:dyDescent="0.25">
      <c r="A1" s="104" t="s">
        <v>0</v>
      </c>
      <c r="B1" s="105"/>
      <c r="C1" s="105"/>
      <c r="D1" s="106"/>
      <c r="E1" s="1"/>
      <c r="F1" s="2" t="s">
        <v>1</v>
      </c>
      <c r="G1" s="3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07" t="s">
        <v>3</v>
      </c>
      <c r="B2" s="4" t="s">
        <v>4</v>
      </c>
      <c r="C2" s="4" t="s">
        <v>5</v>
      </c>
      <c r="D2" s="4" t="s">
        <v>6</v>
      </c>
      <c r="E2" s="5"/>
      <c r="F2" s="1"/>
      <c r="G2" s="1" t="s">
        <v>7</v>
      </c>
      <c r="H2" s="1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08"/>
      <c r="B3" s="6" t="s">
        <v>8</v>
      </c>
      <c r="C3" s="6" t="s">
        <v>8</v>
      </c>
      <c r="D3" s="6" t="s">
        <v>8</v>
      </c>
      <c r="E3" s="5"/>
      <c r="F3" s="1"/>
      <c r="G3" s="1"/>
      <c r="H3" s="1"/>
      <c r="I3" s="1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 t="s">
        <v>9</v>
      </c>
      <c r="B4" s="8"/>
      <c r="C4" s="8"/>
      <c r="D4" s="8"/>
      <c r="E4" s="5"/>
      <c r="F4" s="1"/>
      <c r="H4" s="1"/>
      <c r="I4" s="1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9" t="s">
        <v>10</v>
      </c>
      <c r="B5" s="8">
        <f t="shared" ref="B5:D5" si="0">B16</f>
        <v>8537</v>
      </c>
      <c r="C5" s="8">
        <f t="shared" si="0"/>
        <v>9233</v>
      </c>
      <c r="D5" s="8">
        <f t="shared" si="0"/>
        <v>9670</v>
      </c>
      <c r="E5" s="5"/>
      <c r="F5" s="1"/>
      <c r="H5" s="1"/>
      <c r="I5" s="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10" t="s">
        <v>11</v>
      </c>
      <c r="B6" s="11">
        <f t="shared" ref="B6:D6" si="1">-B18</f>
        <v>-6183.95</v>
      </c>
      <c r="C6" s="11">
        <f t="shared" si="1"/>
        <v>-6269.5499999999993</v>
      </c>
      <c r="D6" s="11">
        <f t="shared" si="1"/>
        <v>-6415.5</v>
      </c>
      <c r="E6" s="5"/>
      <c r="F6" s="1"/>
      <c r="H6" s="1"/>
      <c r="I6" s="1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12" t="s">
        <v>12</v>
      </c>
      <c r="B7" s="13">
        <f t="shared" ref="B7:D7" si="2">SUM(B5:B6)</f>
        <v>2353.0500000000002</v>
      </c>
      <c r="C7" s="13">
        <f t="shared" si="2"/>
        <v>2963.4500000000007</v>
      </c>
      <c r="D7" s="13">
        <f t="shared" si="2"/>
        <v>3254.5</v>
      </c>
      <c r="E7" s="1"/>
      <c r="F7" s="1"/>
      <c r="G7" s="1"/>
      <c r="H7" s="1"/>
      <c r="I7" s="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9" t="s">
        <v>13</v>
      </c>
      <c r="B8" s="8">
        <v>-130</v>
      </c>
      <c r="C8" s="8">
        <v>-143</v>
      </c>
      <c r="D8" s="8">
        <v>-148</v>
      </c>
      <c r="E8" s="5"/>
      <c r="F8" s="1"/>
      <c r="G8" s="1"/>
      <c r="H8" s="1"/>
      <c r="I8" s="1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9" t="s">
        <v>14</v>
      </c>
      <c r="B9" s="8">
        <f t="shared" ref="B9:D9" si="3">-0.267*B10</f>
        <v>198.381</v>
      </c>
      <c r="C9" s="8">
        <f t="shared" si="3"/>
        <v>201.05100000000002</v>
      </c>
      <c r="D9" s="8">
        <f t="shared" si="3"/>
        <v>202.65300000000002</v>
      </c>
      <c r="E9" s="5"/>
      <c r="F9" s="1"/>
      <c r="G9" s="1"/>
      <c r="H9" s="1"/>
      <c r="I9" s="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14" t="s">
        <v>15</v>
      </c>
      <c r="B10" s="15">
        <v>-743</v>
      </c>
      <c r="C10" s="15">
        <v>-753</v>
      </c>
      <c r="D10" s="15">
        <v>-759</v>
      </c>
      <c r="E10" s="5"/>
      <c r="F10" s="1"/>
      <c r="G10" s="1"/>
      <c r="H10" s="1"/>
      <c r="I10" s="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6" t="s">
        <v>16</v>
      </c>
      <c r="B11" s="13">
        <f t="shared" ref="B11:D11" si="4">SUM(B7:B10)</f>
        <v>1678.431</v>
      </c>
      <c r="C11" s="13">
        <f t="shared" si="4"/>
        <v>2268.5010000000007</v>
      </c>
      <c r="D11" s="13">
        <f t="shared" si="4"/>
        <v>2550.1530000000002</v>
      </c>
      <c r="E11" s="1"/>
      <c r="F11" s="1"/>
      <c r="G11" s="1"/>
      <c r="H11" s="1"/>
      <c r="I11" s="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5">
      <c r="A12" s="17"/>
      <c r="B12" s="18"/>
      <c r="C12" s="18"/>
      <c r="D12" s="18"/>
      <c r="E12" s="1"/>
      <c r="F12" s="1"/>
      <c r="G12" s="1"/>
      <c r="H12" s="1"/>
      <c r="I12" s="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5">
      <c r="A13" s="19" t="s">
        <v>17</v>
      </c>
      <c r="B13" s="20"/>
      <c r="C13" s="20"/>
      <c r="D13" s="20"/>
      <c r="E13" s="1"/>
      <c r="F13" s="1"/>
      <c r="G13" s="1"/>
      <c r="H13" s="1"/>
      <c r="I13" s="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55000000000000004">
      <c r="A14" s="21" t="s">
        <v>18</v>
      </c>
      <c r="B14" s="22">
        <v>2812</v>
      </c>
      <c r="C14" s="22">
        <v>3375</v>
      </c>
      <c r="D14" s="22">
        <v>3690</v>
      </c>
      <c r="E14" s="23"/>
      <c r="F14" s="1"/>
      <c r="G14" s="1"/>
      <c r="H14" s="24"/>
      <c r="I14" s="2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5">
      <c r="A15" s="25" t="s">
        <v>19</v>
      </c>
      <c r="B15" s="11">
        <v>5725</v>
      </c>
      <c r="C15" s="11">
        <v>5858</v>
      </c>
      <c r="D15" s="26">
        <v>5980</v>
      </c>
      <c r="E15" s="23"/>
      <c r="F15" s="1"/>
      <c r="G15" s="1"/>
      <c r="H15" s="1"/>
      <c r="I15" s="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5">
      <c r="A16" s="27" t="s">
        <v>10</v>
      </c>
      <c r="B16" s="28">
        <f t="shared" ref="B16:D16" si="5">SUM(B14:B15)</f>
        <v>8537</v>
      </c>
      <c r="C16" s="28">
        <f t="shared" si="5"/>
        <v>9233</v>
      </c>
      <c r="D16" s="28">
        <f t="shared" si="5"/>
        <v>9670</v>
      </c>
      <c r="E16" s="23"/>
      <c r="F16" s="1"/>
      <c r="G16" s="1"/>
      <c r="H16" s="1"/>
      <c r="I16" s="1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29"/>
      <c r="B17" s="13"/>
      <c r="C17" s="30"/>
      <c r="D17" s="30"/>
      <c r="E17" s="23"/>
      <c r="F17" s="1"/>
      <c r="G17" s="1"/>
      <c r="H17" s="1"/>
      <c r="I17" s="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31" t="s">
        <v>11</v>
      </c>
      <c r="B18" s="28">
        <v>6183.95</v>
      </c>
      <c r="C18" s="28">
        <v>6269.5499999999993</v>
      </c>
      <c r="D18" s="28">
        <v>6415.5</v>
      </c>
      <c r="E18" s="23"/>
      <c r="F18" s="1"/>
      <c r="G18" s="1"/>
      <c r="H18" s="1"/>
      <c r="I18" s="1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9"/>
      <c r="B19" s="32"/>
      <c r="C19" s="32"/>
      <c r="D19" s="32"/>
      <c r="E19" s="1"/>
      <c r="F19" s="1"/>
      <c r="G19" s="1"/>
      <c r="H19" s="1"/>
      <c r="I19" s="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33" t="s">
        <v>20</v>
      </c>
      <c r="B20" s="34">
        <v>4085</v>
      </c>
      <c r="C20" s="34">
        <v>4195</v>
      </c>
      <c r="D20" s="34">
        <v>4409</v>
      </c>
      <c r="E20" s="1"/>
      <c r="F20" s="1"/>
      <c r="G20" s="1"/>
      <c r="H20" s="1"/>
      <c r="I20" s="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35" t="s">
        <v>21</v>
      </c>
      <c r="B21" s="34">
        <f t="shared" ref="B21:D21" si="6">B14*1000/B20/12</f>
        <v>57.36434108527132</v>
      </c>
      <c r="C21" s="34">
        <f t="shared" si="6"/>
        <v>67.044100119189508</v>
      </c>
      <c r="D21" s="34">
        <f t="shared" si="6"/>
        <v>69.743706055794959</v>
      </c>
      <c r="E21" s="1"/>
      <c r="F21" s="1"/>
      <c r="G21" s="1"/>
      <c r="H21" s="1"/>
      <c r="I21" s="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36"/>
      <c r="C22" s="36"/>
      <c r="D22" s="36"/>
      <c r="E22" s="1"/>
      <c r="F22" s="1"/>
      <c r="G22" s="1"/>
      <c r="H22" s="1"/>
      <c r="I22" s="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B23" s="36"/>
      <c r="C23" s="36"/>
      <c r="D23" s="36"/>
      <c r="E23" s="5"/>
      <c r="F23" s="5"/>
      <c r="G23" s="5"/>
      <c r="H23" s="5"/>
      <c r="I23" s="1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36"/>
      <c r="B24" s="36"/>
      <c r="C24" s="36"/>
      <c r="D24" s="36"/>
      <c r="E24" s="5"/>
      <c r="F24" s="5"/>
      <c r="G24" s="5"/>
      <c r="H24" s="5"/>
      <c r="I24" s="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36"/>
      <c r="C25" s="36"/>
      <c r="D25" s="36"/>
      <c r="E25" s="5"/>
      <c r="F25" s="5"/>
      <c r="G25" s="5"/>
      <c r="H25" s="5"/>
      <c r="I25" s="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36"/>
      <c r="C26" s="36"/>
      <c r="D26" s="36"/>
      <c r="E26" s="5"/>
      <c r="F26" s="5"/>
      <c r="G26" s="5"/>
      <c r="H26" s="5"/>
      <c r="I26" s="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36"/>
      <c r="C27" s="36"/>
      <c r="D27" s="36"/>
      <c r="E27" s="5"/>
      <c r="F27" s="5"/>
      <c r="G27" s="5"/>
      <c r="H27" s="5"/>
      <c r="I27" s="1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36"/>
      <c r="C28" s="36"/>
      <c r="D28" s="36"/>
      <c r="E28" s="5"/>
      <c r="F28" s="5"/>
      <c r="G28" s="5"/>
      <c r="H28" s="5"/>
      <c r="I28" s="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36"/>
      <c r="C29" s="36"/>
      <c r="D29" s="36"/>
      <c r="E29" s="5"/>
      <c r="F29" s="5"/>
      <c r="G29" s="5"/>
      <c r="H29" s="5"/>
      <c r="I29" s="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36"/>
      <c r="C30" s="36"/>
      <c r="D30" s="36"/>
      <c r="E30" s="5"/>
      <c r="F30" s="5"/>
      <c r="G30" s="5"/>
      <c r="H30" s="5"/>
      <c r="I30" s="1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36"/>
      <c r="C31" s="36"/>
      <c r="D31" s="36"/>
      <c r="E31" s="5"/>
      <c r="F31" s="5"/>
      <c r="G31" s="5"/>
      <c r="H31" s="5"/>
      <c r="I31" s="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36"/>
      <c r="C32" s="36"/>
      <c r="D32" s="36"/>
      <c r="E32" s="5"/>
      <c r="F32" s="5"/>
      <c r="G32" s="5"/>
      <c r="H32" s="5"/>
      <c r="I32" s="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36"/>
      <c r="C33" s="36"/>
      <c r="D33" s="36"/>
      <c r="E33" s="5"/>
      <c r="F33" s="5"/>
      <c r="G33" s="5"/>
      <c r="H33" s="5"/>
      <c r="I33" s="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36"/>
      <c r="C34" s="36"/>
      <c r="D34" s="36"/>
      <c r="E34" s="5"/>
      <c r="F34" s="5"/>
      <c r="G34" s="5"/>
      <c r="H34" s="5"/>
      <c r="I34" s="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36"/>
      <c r="C35" s="36"/>
      <c r="D35" s="36"/>
      <c r="E35" s="5"/>
      <c r="F35" s="5"/>
      <c r="G35" s="5"/>
      <c r="H35" s="5"/>
      <c r="I35" s="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36"/>
      <c r="C36" s="36"/>
      <c r="D36" s="36"/>
      <c r="E36" s="5"/>
      <c r="F36" s="5"/>
      <c r="G36" s="5"/>
      <c r="H36" s="5"/>
      <c r="I36" s="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36"/>
      <c r="C37" s="36"/>
      <c r="D37" s="36"/>
      <c r="E37" s="5"/>
      <c r="F37" s="5"/>
      <c r="G37" s="5"/>
      <c r="H37" s="5"/>
      <c r="I37" s="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36"/>
      <c r="C38" s="36"/>
      <c r="D38" s="36"/>
      <c r="E38" s="5"/>
      <c r="F38" s="5"/>
      <c r="G38" s="5"/>
      <c r="H38" s="5"/>
      <c r="I38" s="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36"/>
      <c r="C39" s="36"/>
      <c r="D39" s="36"/>
      <c r="E39" s="5"/>
      <c r="F39" s="5"/>
      <c r="G39" s="5"/>
      <c r="H39" s="5"/>
      <c r="I39" s="1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36"/>
      <c r="C40" s="36"/>
      <c r="D40" s="36"/>
      <c r="E40" s="5"/>
      <c r="F40" s="5"/>
      <c r="G40" s="5"/>
      <c r="H40" s="5"/>
      <c r="I40" s="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36"/>
      <c r="C41" s="36"/>
      <c r="D41" s="36"/>
      <c r="E41" s="5"/>
      <c r="F41" s="5"/>
      <c r="G41" s="5"/>
      <c r="H41" s="5"/>
      <c r="I41" s="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36"/>
      <c r="C42" s="36"/>
      <c r="D42" s="36"/>
      <c r="E42" s="5"/>
      <c r="F42" s="5"/>
      <c r="G42" s="5"/>
      <c r="H42" s="5"/>
      <c r="I42" s="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36"/>
      <c r="C43" s="36"/>
      <c r="D43" s="36"/>
      <c r="E43" s="5"/>
      <c r="F43" s="5"/>
      <c r="G43" s="5"/>
      <c r="H43" s="5"/>
      <c r="I43" s="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36"/>
      <c r="C44" s="36"/>
      <c r="D44" s="36"/>
      <c r="E44" s="5"/>
      <c r="F44" s="5"/>
      <c r="G44" s="5"/>
      <c r="H44" s="5"/>
      <c r="I44" s="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36"/>
      <c r="C45" s="36"/>
      <c r="D45" s="36"/>
      <c r="E45" s="5"/>
      <c r="F45" s="5"/>
      <c r="G45" s="5"/>
      <c r="H45" s="5"/>
      <c r="I45" s="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36"/>
      <c r="C46" s="36"/>
      <c r="D46" s="36"/>
      <c r="E46" s="5"/>
      <c r="F46" s="5"/>
      <c r="G46" s="5"/>
      <c r="H46" s="5"/>
      <c r="I46" s="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36"/>
      <c r="C47" s="36"/>
      <c r="D47" s="36"/>
      <c r="E47" s="5"/>
      <c r="F47" s="5"/>
      <c r="G47" s="5"/>
      <c r="H47" s="5"/>
      <c r="I47" s="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36"/>
      <c r="C48" s="36"/>
      <c r="D48" s="36"/>
      <c r="E48" s="5"/>
      <c r="F48" s="5"/>
      <c r="G48" s="5"/>
      <c r="H48" s="5"/>
      <c r="I48" s="1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36"/>
      <c r="C49" s="36"/>
      <c r="D49" s="36"/>
      <c r="E49" s="5"/>
      <c r="F49" s="5"/>
      <c r="G49" s="5"/>
      <c r="H49" s="5"/>
      <c r="I49" s="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36"/>
      <c r="C50" s="36"/>
      <c r="D50" s="36"/>
      <c r="E50" s="5"/>
      <c r="F50" s="5"/>
      <c r="G50" s="5"/>
      <c r="H50" s="5"/>
      <c r="I50" s="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36"/>
      <c r="C51" s="36"/>
      <c r="D51" s="36"/>
      <c r="E51" s="5"/>
      <c r="F51" s="5"/>
      <c r="G51" s="5"/>
      <c r="H51" s="5"/>
      <c r="I51" s="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36"/>
      <c r="C52" s="36"/>
      <c r="D52" s="36"/>
      <c r="E52" s="5"/>
      <c r="F52" s="5"/>
      <c r="G52" s="5"/>
      <c r="H52" s="5"/>
      <c r="I52" s="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36"/>
      <c r="C53" s="36"/>
      <c r="D53" s="36"/>
      <c r="E53" s="5"/>
      <c r="F53" s="5"/>
      <c r="G53" s="5"/>
      <c r="H53" s="5"/>
      <c r="I53" s="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36"/>
      <c r="C54" s="36"/>
      <c r="D54" s="36"/>
      <c r="E54" s="5"/>
      <c r="F54" s="5"/>
      <c r="G54" s="5"/>
      <c r="H54" s="5"/>
      <c r="I54" s="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36"/>
      <c r="C55" s="36"/>
      <c r="D55" s="36"/>
      <c r="E55" s="5"/>
      <c r="F55" s="5"/>
      <c r="G55" s="5"/>
      <c r="H55" s="5"/>
      <c r="I55" s="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36"/>
      <c r="C56" s="36"/>
      <c r="D56" s="36"/>
      <c r="E56" s="5"/>
      <c r="F56" s="5"/>
      <c r="G56" s="5"/>
      <c r="H56" s="5"/>
      <c r="I56" s="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36"/>
      <c r="C57" s="36"/>
      <c r="D57" s="36"/>
      <c r="E57" s="5"/>
      <c r="F57" s="5"/>
      <c r="G57" s="5"/>
      <c r="H57" s="5"/>
      <c r="I57" s="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36"/>
      <c r="C58" s="36"/>
      <c r="D58" s="36"/>
      <c r="E58" s="5"/>
      <c r="F58" s="5"/>
      <c r="G58" s="5"/>
      <c r="H58" s="5"/>
      <c r="I58" s="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36"/>
      <c r="C59" s="36"/>
      <c r="D59" s="36"/>
      <c r="E59" s="5"/>
      <c r="F59" s="5"/>
      <c r="G59" s="5"/>
      <c r="H59" s="5"/>
      <c r="I59" s="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36"/>
      <c r="C60" s="36"/>
      <c r="D60" s="36"/>
      <c r="E60" s="5"/>
      <c r="F60" s="5"/>
      <c r="G60" s="5"/>
      <c r="H60" s="5"/>
      <c r="I60" s="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36"/>
      <c r="C61" s="36"/>
      <c r="D61" s="36"/>
      <c r="E61" s="5"/>
      <c r="F61" s="5"/>
      <c r="G61" s="5"/>
      <c r="H61" s="5"/>
      <c r="I61" s="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36"/>
      <c r="C62" s="36"/>
      <c r="D62" s="36"/>
      <c r="E62" s="5"/>
      <c r="F62" s="5"/>
      <c r="G62" s="5"/>
      <c r="H62" s="5"/>
      <c r="I62" s="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36"/>
      <c r="C63" s="36"/>
      <c r="D63" s="36"/>
      <c r="E63" s="5"/>
      <c r="F63" s="5"/>
      <c r="G63" s="5"/>
      <c r="H63" s="5"/>
      <c r="I63" s="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36"/>
      <c r="C64" s="36"/>
      <c r="D64" s="36"/>
      <c r="E64" s="5"/>
      <c r="F64" s="5"/>
      <c r="G64" s="5"/>
      <c r="H64" s="5"/>
      <c r="I64" s="1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36"/>
      <c r="C65" s="36"/>
      <c r="D65" s="36"/>
      <c r="E65" s="5"/>
      <c r="F65" s="5"/>
      <c r="G65" s="5"/>
      <c r="H65" s="5"/>
      <c r="I65" s="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36"/>
      <c r="C66" s="36"/>
      <c r="D66" s="36"/>
      <c r="E66" s="5"/>
      <c r="F66" s="5"/>
      <c r="G66" s="5"/>
      <c r="H66" s="5"/>
      <c r="I66" s="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36"/>
      <c r="C67" s="36"/>
      <c r="D67" s="36"/>
      <c r="E67" s="5"/>
      <c r="F67" s="5"/>
      <c r="G67" s="5"/>
      <c r="H67" s="5"/>
      <c r="I67" s="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36"/>
      <c r="C68" s="36"/>
      <c r="D68" s="36"/>
      <c r="E68" s="5"/>
      <c r="F68" s="5"/>
      <c r="G68" s="5"/>
      <c r="H68" s="5"/>
      <c r="I68" s="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36"/>
      <c r="C69" s="36"/>
      <c r="D69" s="36"/>
      <c r="E69" s="5"/>
      <c r="F69" s="5"/>
      <c r="G69" s="5"/>
      <c r="H69" s="5"/>
      <c r="I69" s="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36"/>
      <c r="C70" s="36"/>
      <c r="D70" s="36"/>
      <c r="E70" s="5"/>
      <c r="F70" s="5"/>
      <c r="G70" s="5"/>
      <c r="H70" s="5"/>
      <c r="I70" s="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36"/>
      <c r="C71" s="36"/>
      <c r="D71" s="36"/>
      <c r="E71" s="5"/>
      <c r="F71" s="5"/>
      <c r="G71" s="5"/>
      <c r="H71" s="5"/>
      <c r="I71" s="1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36"/>
      <c r="C72" s="36"/>
      <c r="D72" s="36"/>
      <c r="E72" s="5"/>
      <c r="F72" s="5"/>
      <c r="G72" s="5"/>
      <c r="H72" s="5"/>
      <c r="I72" s="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36"/>
      <c r="C73" s="36"/>
      <c r="D73" s="36"/>
      <c r="E73" s="5"/>
      <c r="F73" s="5"/>
      <c r="G73" s="5"/>
      <c r="H73" s="5"/>
      <c r="I73" s="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36"/>
      <c r="C74" s="36"/>
      <c r="D74" s="36"/>
      <c r="E74" s="5"/>
      <c r="F74" s="5"/>
      <c r="G74" s="5"/>
      <c r="H74" s="5"/>
      <c r="I74" s="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36"/>
      <c r="C75" s="36"/>
      <c r="D75" s="36"/>
      <c r="E75" s="5"/>
      <c r="F75" s="5"/>
      <c r="G75" s="5"/>
      <c r="H75" s="5"/>
      <c r="I75" s="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36"/>
      <c r="C76" s="36"/>
      <c r="D76" s="36"/>
      <c r="E76" s="5"/>
      <c r="F76" s="5"/>
      <c r="G76" s="5"/>
      <c r="H76" s="5"/>
      <c r="I76" s="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36"/>
      <c r="C77" s="36"/>
      <c r="D77" s="36"/>
      <c r="E77" s="5"/>
      <c r="F77" s="5"/>
      <c r="G77" s="5"/>
      <c r="H77" s="5"/>
      <c r="I77" s="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36"/>
      <c r="C78" s="36"/>
      <c r="D78" s="36"/>
      <c r="E78" s="5"/>
      <c r="F78" s="5"/>
      <c r="G78" s="5"/>
      <c r="H78" s="5"/>
      <c r="I78" s="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36"/>
      <c r="C79" s="36"/>
      <c r="D79" s="36"/>
      <c r="E79" s="5"/>
      <c r="F79" s="5"/>
      <c r="G79" s="5"/>
      <c r="H79" s="5"/>
      <c r="I79" s="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36"/>
      <c r="C80" s="36"/>
      <c r="D80" s="36"/>
      <c r="E80" s="5"/>
      <c r="F80" s="5"/>
      <c r="G80" s="5"/>
      <c r="H80" s="5"/>
      <c r="I80" s="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36"/>
      <c r="C81" s="36"/>
      <c r="D81" s="36"/>
      <c r="E81" s="5"/>
      <c r="F81" s="5"/>
      <c r="G81" s="5"/>
      <c r="H81" s="5"/>
      <c r="I81" s="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36"/>
      <c r="C82" s="36"/>
      <c r="D82" s="36"/>
      <c r="E82" s="5"/>
      <c r="F82" s="5"/>
      <c r="G82" s="5"/>
      <c r="H82" s="5"/>
      <c r="I82" s="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36"/>
      <c r="C83" s="36"/>
      <c r="D83" s="36"/>
      <c r="E83" s="5"/>
      <c r="F83" s="5"/>
      <c r="G83" s="5"/>
      <c r="H83" s="5"/>
      <c r="I83" s="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36"/>
      <c r="C84" s="36"/>
      <c r="D84" s="36"/>
      <c r="E84" s="5"/>
      <c r="F84" s="5"/>
      <c r="G84" s="5"/>
      <c r="H84" s="5"/>
      <c r="I84" s="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36"/>
      <c r="C85" s="36"/>
      <c r="D85" s="36"/>
      <c r="E85" s="5"/>
      <c r="F85" s="5"/>
      <c r="G85" s="5"/>
      <c r="H85" s="5"/>
      <c r="I85" s="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36"/>
      <c r="C86" s="36"/>
      <c r="D86" s="36"/>
      <c r="E86" s="5"/>
      <c r="F86" s="5"/>
      <c r="G86" s="5"/>
      <c r="H86" s="5"/>
      <c r="I86" s="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36"/>
      <c r="C87" s="36"/>
      <c r="D87" s="36"/>
      <c r="E87" s="5"/>
      <c r="F87" s="5"/>
      <c r="G87" s="5"/>
      <c r="H87" s="5"/>
      <c r="I87" s="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36"/>
      <c r="C88" s="36"/>
      <c r="D88" s="36"/>
      <c r="E88" s="5"/>
      <c r="F88" s="5"/>
      <c r="G88" s="5"/>
      <c r="H88" s="5"/>
      <c r="I88" s="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36"/>
      <c r="C89" s="36"/>
      <c r="D89" s="36"/>
      <c r="E89" s="5"/>
      <c r="F89" s="5"/>
      <c r="G89" s="5"/>
      <c r="H89" s="5"/>
      <c r="I89" s="1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36"/>
      <c r="C90" s="36"/>
      <c r="D90" s="36"/>
      <c r="E90" s="5"/>
      <c r="F90" s="5"/>
      <c r="G90" s="5"/>
      <c r="H90" s="5"/>
      <c r="I90" s="1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36"/>
      <c r="C91" s="36"/>
      <c r="D91" s="36"/>
      <c r="E91" s="5"/>
      <c r="F91" s="5"/>
      <c r="G91" s="5"/>
      <c r="H91" s="5"/>
      <c r="I91" s="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36"/>
      <c r="C92" s="36"/>
      <c r="D92" s="36"/>
      <c r="E92" s="5"/>
      <c r="F92" s="5"/>
      <c r="G92" s="5"/>
      <c r="H92" s="5"/>
      <c r="I92" s="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36"/>
      <c r="C93" s="36"/>
      <c r="D93" s="36"/>
      <c r="E93" s="5"/>
      <c r="F93" s="5"/>
      <c r="G93" s="5"/>
      <c r="H93" s="5"/>
      <c r="I93" s="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36"/>
      <c r="C94" s="36"/>
      <c r="D94" s="36"/>
      <c r="E94" s="5"/>
      <c r="F94" s="5"/>
      <c r="G94" s="5"/>
      <c r="H94" s="5"/>
      <c r="I94" s="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36"/>
      <c r="C95" s="36"/>
      <c r="D95" s="36"/>
      <c r="E95" s="5"/>
      <c r="F95" s="5"/>
      <c r="G95" s="5"/>
      <c r="H95" s="5"/>
      <c r="I95" s="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36"/>
      <c r="C96" s="36"/>
      <c r="D96" s="36"/>
      <c r="E96" s="5"/>
      <c r="F96" s="5"/>
      <c r="G96" s="5"/>
      <c r="H96" s="5"/>
      <c r="I96" s="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36"/>
      <c r="C97" s="36"/>
      <c r="D97" s="36"/>
      <c r="E97" s="5"/>
      <c r="F97" s="5"/>
      <c r="G97" s="5"/>
      <c r="H97" s="5"/>
      <c r="I97" s="1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36"/>
      <c r="C98" s="36"/>
      <c r="D98" s="36"/>
      <c r="E98" s="5"/>
      <c r="F98" s="5"/>
      <c r="G98" s="5"/>
      <c r="H98" s="5"/>
      <c r="I98" s="1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36"/>
      <c r="C99" s="36"/>
      <c r="D99" s="36"/>
      <c r="E99" s="5"/>
      <c r="F99" s="5"/>
      <c r="G99" s="5"/>
      <c r="H99" s="5"/>
      <c r="I99" s="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36"/>
      <c r="C100" s="36"/>
      <c r="D100" s="36"/>
      <c r="E100" s="5"/>
      <c r="F100" s="5"/>
      <c r="G100" s="5"/>
      <c r="H100" s="5"/>
      <c r="I100" s="1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36"/>
      <c r="C101" s="36"/>
      <c r="D101" s="36"/>
      <c r="E101" s="5"/>
      <c r="F101" s="5"/>
      <c r="G101" s="5"/>
      <c r="H101" s="5"/>
      <c r="I101" s="1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36"/>
      <c r="C102" s="36"/>
      <c r="D102" s="36"/>
      <c r="E102" s="5"/>
      <c r="F102" s="5"/>
      <c r="G102" s="5"/>
      <c r="H102" s="5"/>
      <c r="I102" s="1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36"/>
      <c r="C103" s="36"/>
      <c r="D103" s="36"/>
      <c r="E103" s="5"/>
      <c r="F103" s="5"/>
      <c r="G103" s="5"/>
      <c r="H103" s="5"/>
      <c r="I103" s="1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36"/>
      <c r="C104" s="36"/>
      <c r="D104" s="36"/>
      <c r="E104" s="5"/>
      <c r="F104" s="5"/>
      <c r="G104" s="5"/>
      <c r="H104" s="5"/>
      <c r="I104" s="1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36"/>
      <c r="C105" s="36"/>
      <c r="D105" s="36"/>
      <c r="E105" s="5"/>
      <c r="F105" s="5"/>
      <c r="G105" s="5"/>
      <c r="H105" s="5"/>
      <c r="I105" s="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36"/>
      <c r="C106" s="36"/>
      <c r="D106" s="36"/>
      <c r="E106" s="5"/>
      <c r="F106" s="5"/>
      <c r="G106" s="5"/>
      <c r="H106" s="5"/>
      <c r="I106" s="1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36"/>
      <c r="C107" s="36"/>
      <c r="D107" s="36"/>
      <c r="E107" s="5"/>
      <c r="F107" s="5"/>
      <c r="G107" s="5"/>
      <c r="H107" s="5"/>
      <c r="I107" s="1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36"/>
      <c r="C108" s="36"/>
      <c r="D108" s="36"/>
      <c r="E108" s="5"/>
      <c r="F108" s="5"/>
      <c r="G108" s="5"/>
      <c r="H108" s="5"/>
      <c r="I108" s="1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36"/>
      <c r="C109" s="36"/>
      <c r="D109" s="36"/>
      <c r="E109" s="5"/>
      <c r="F109" s="5"/>
      <c r="G109" s="5"/>
      <c r="H109" s="5"/>
      <c r="I109" s="1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36"/>
      <c r="C110" s="36"/>
      <c r="D110" s="36"/>
      <c r="E110" s="5"/>
      <c r="F110" s="5"/>
      <c r="G110" s="5"/>
      <c r="H110" s="5"/>
      <c r="I110" s="1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36"/>
      <c r="C111" s="36"/>
      <c r="D111" s="36"/>
      <c r="E111" s="5"/>
      <c r="F111" s="5"/>
      <c r="G111" s="5"/>
      <c r="H111" s="5"/>
      <c r="I111" s="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36"/>
      <c r="C112" s="36"/>
      <c r="D112" s="36"/>
      <c r="E112" s="5"/>
      <c r="F112" s="5"/>
      <c r="G112" s="5"/>
      <c r="H112" s="5"/>
      <c r="I112" s="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36"/>
      <c r="C113" s="36"/>
      <c r="D113" s="36"/>
      <c r="E113" s="5"/>
      <c r="F113" s="5"/>
      <c r="G113" s="5"/>
      <c r="H113" s="5"/>
      <c r="I113" s="1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36"/>
      <c r="C114" s="36"/>
      <c r="D114" s="36"/>
      <c r="E114" s="5"/>
      <c r="F114" s="5"/>
      <c r="G114" s="5"/>
      <c r="H114" s="5"/>
      <c r="I114" s="1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36"/>
      <c r="C115" s="36"/>
      <c r="D115" s="36"/>
      <c r="E115" s="5"/>
      <c r="F115" s="5"/>
      <c r="G115" s="5"/>
      <c r="H115" s="5"/>
      <c r="I115" s="1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36"/>
      <c r="C116" s="36"/>
      <c r="D116" s="36"/>
      <c r="E116" s="5"/>
      <c r="F116" s="5"/>
      <c r="G116" s="5"/>
      <c r="H116" s="5"/>
      <c r="I116" s="1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36"/>
      <c r="C117" s="36"/>
      <c r="D117" s="36"/>
      <c r="E117" s="5"/>
      <c r="F117" s="5"/>
      <c r="G117" s="5"/>
      <c r="H117" s="5"/>
      <c r="I117" s="1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36"/>
      <c r="C118" s="36"/>
      <c r="D118" s="36"/>
      <c r="E118" s="5"/>
      <c r="F118" s="5"/>
      <c r="G118" s="5"/>
      <c r="H118" s="5"/>
      <c r="I118" s="1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36"/>
      <c r="C119" s="36"/>
      <c r="D119" s="36"/>
      <c r="E119" s="5"/>
      <c r="F119" s="5"/>
      <c r="G119" s="5"/>
      <c r="H119" s="5"/>
      <c r="I119" s="1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36"/>
      <c r="C120" s="36"/>
      <c r="D120" s="36"/>
      <c r="E120" s="5"/>
      <c r="F120" s="5"/>
      <c r="G120" s="5"/>
      <c r="H120" s="5"/>
      <c r="I120" s="1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36"/>
      <c r="C121" s="36"/>
      <c r="D121" s="36"/>
      <c r="E121" s="5"/>
      <c r="F121" s="5"/>
      <c r="G121" s="5"/>
      <c r="H121" s="5"/>
      <c r="I121" s="1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36"/>
      <c r="C122" s="36"/>
      <c r="D122" s="36"/>
      <c r="E122" s="5"/>
      <c r="F122" s="5"/>
      <c r="G122" s="5"/>
      <c r="H122" s="5"/>
      <c r="I122" s="1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36"/>
      <c r="C123" s="36"/>
      <c r="D123" s="36"/>
      <c r="E123" s="5"/>
      <c r="F123" s="5"/>
      <c r="G123" s="5"/>
      <c r="H123" s="5"/>
      <c r="I123" s="1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36"/>
      <c r="C124" s="36"/>
      <c r="D124" s="36"/>
      <c r="E124" s="5"/>
      <c r="F124" s="5"/>
      <c r="G124" s="5"/>
      <c r="H124" s="5"/>
      <c r="I124" s="1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36"/>
      <c r="C125" s="36"/>
      <c r="D125" s="36"/>
      <c r="E125" s="5"/>
      <c r="F125" s="5"/>
      <c r="G125" s="5"/>
      <c r="H125" s="5"/>
      <c r="I125" s="1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36"/>
      <c r="C126" s="36"/>
      <c r="D126" s="36"/>
      <c r="E126" s="5"/>
      <c r="F126" s="5"/>
      <c r="G126" s="5"/>
      <c r="H126" s="5"/>
      <c r="I126" s="1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36"/>
      <c r="C127" s="36"/>
      <c r="D127" s="36"/>
      <c r="E127" s="5"/>
      <c r="F127" s="5"/>
      <c r="G127" s="5"/>
      <c r="H127" s="5"/>
      <c r="I127" s="1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36"/>
      <c r="C128" s="36"/>
      <c r="D128" s="36"/>
      <c r="E128" s="5"/>
      <c r="F128" s="5"/>
      <c r="G128" s="5"/>
      <c r="H128" s="5"/>
      <c r="I128" s="1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36"/>
      <c r="C129" s="36"/>
      <c r="D129" s="36"/>
      <c r="E129" s="5"/>
      <c r="F129" s="5"/>
      <c r="G129" s="5"/>
      <c r="H129" s="5"/>
      <c r="I129" s="1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36"/>
      <c r="C130" s="36"/>
      <c r="D130" s="36"/>
      <c r="E130" s="5"/>
      <c r="F130" s="5"/>
      <c r="G130" s="5"/>
      <c r="H130" s="5"/>
      <c r="I130" s="1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36"/>
      <c r="C131" s="36"/>
      <c r="D131" s="36"/>
      <c r="E131" s="5"/>
      <c r="F131" s="5"/>
      <c r="G131" s="5"/>
      <c r="H131" s="5"/>
      <c r="I131" s="1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36"/>
      <c r="C132" s="36"/>
      <c r="D132" s="36"/>
      <c r="E132" s="5"/>
      <c r="F132" s="5"/>
      <c r="G132" s="5"/>
      <c r="H132" s="5"/>
      <c r="I132" s="1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36"/>
      <c r="C133" s="36"/>
      <c r="D133" s="36"/>
      <c r="E133" s="5"/>
      <c r="F133" s="5"/>
      <c r="G133" s="5"/>
      <c r="H133" s="5"/>
      <c r="I133" s="1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36"/>
      <c r="C134" s="36"/>
      <c r="D134" s="36"/>
      <c r="E134" s="5"/>
      <c r="F134" s="5"/>
      <c r="G134" s="5"/>
      <c r="H134" s="5"/>
      <c r="I134" s="1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36"/>
      <c r="C135" s="36"/>
      <c r="D135" s="36"/>
      <c r="E135" s="5"/>
      <c r="F135" s="5"/>
      <c r="G135" s="5"/>
      <c r="H135" s="5"/>
      <c r="I135" s="1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36"/>
      <c r="C136" s="36"/>
      <c r="D136" s="36"/>
      <c r="E136" s="5"/>
      <c r="F136" s="5"/>
      <c r="G136" s="5"/>
      <c r="H136" s="5"/>
      <c r="I136" s="1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36"/>
      <c r="C137" s="36"/>
      <c r="D137" s="36"/>
      <c r="E137" s="5"/>
      <c r="F137" s="5"/>
      <c r="G137" s="5"/>
      <c r="H137" s="5"/>
      <c r="I137" s="1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36"/>
      <c r="C138" s="36"/>
      <c r="D138" s="36"/>
      <c r="E138" s="5"/>
      <c r="F138" s="5"/>
      <c r="G138" s="5"/>
      <c r="H138" s="5"/>
      <c r="I138" s="1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36"/>
      <c r="C139" s="36"/>
      <c r="D139" s="36"/>
      <c r="E139" s="5"/>
      <c r="F139" s="5"/>
      <c r="G139" s="5"/>
      <c r="H139" s="5"/>
      <c r="I139" s="1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36"/>
      <c r="C140" s="36"/>
      <c r="D140" s="36"/>
      <c r="E140" s="5"/>
      <c r="F140" s="5"/>
      <c r="G140" s="5"/>
      <c r="H140" s="5"/>
      <c r="I140" s="1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36"/>
      <c r="C141" s="36"/>
      <c r="D141" s="36"/>
      <c r="E141" s="5"/>
      <c r="F141" s="5"/>
      <c r="G141" s="5"/>
      <c r="H141" s="5"/>
      <c r="I141" s="1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36"/>
      <c r="C142" s="36"/>
      <c r="D142" s="36"/>
      <c r="E142" s="5"/>
      <c r="F142" s="5"/>
      <c r="G142" s="5"/>
      <c r="H142" s="5"/>
      <c r="I142" s="1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36"/>
      <c r="C143" s="36"/>
      <c r="D143" s="36"/>
      <c r="E143" s="5"/>
      <c r="F143" s="5"/>
      <c r="G143" s="5"/>
      <c r="H143" s="5"/>
      <c r="I143" s="1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36"/>
      <c r="C144" s="36"/>
      <c r="D144" s="36"/>
      <c r="E144" s="5"/>
      <c r="F144" s="5"/>
      <c r="G144" s="5"/>
      <c r="H144" s="5"/>
      <c r="I144" s="1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36"/>
      <c r="C145" s="36"/>
      <c r="D145" s="36"/>
      <c r="E145" s="5"/>
      <c r="F145" s="5"/>
      <c r="G145" s="5"/>
      <c r="H145" s="5"/>
      <c r="I145" s="1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36"/>
      <c r="C146" s="36"/>
      <c r="D146" s="36"/>
      <c r="E146" s="5"/>
      <c r="F146" s="5"/>
      <c r="G146" s="5"/>
      <c r="H146" s="5"/>
      <c r="I146" s="1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36"/>
      <c r="C147" s="36"/>
      <c r="D147" s="36"/>
      <c r="E147" s="5"/>
      <c r="F147" s="5"/>
      <c r="G147" s="5"/>
      <c r="H147" s="5"/>
      <c r="I147" s="1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36"/>
      <c r="C148" s="36"/>
      <c r="D148" s="36"/>
      <c r="E148" s="5"/>
      <c r="F148" s="5"/>
      <c r="G148" s="5"/>
      <c r="H148" s="5"/>
      <c r="I148" s="1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36"/>
      <c r="C149" s="36"/>
      <c r="D149" s="36"/>
      <c r="E149" s="5"/>
      <c r="F149" s="5"/>
      <c r="G149" s="5"/>
      <c r="H149" s="5"/>
      <c r="I149" s="1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36"/>
      <c r="C150" s="36"/>
      <c r="D150" s="36"/>
      <c r="E150" s="5"/>
      <c r="F150" s="5"/>
      <c r="G150" s="5"/>
      <c r="H150" s="5"/>
      <c r="I150" s="1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36"/>
      <c r="C151" s="36"/>
      <c r="D151" s="36"/>
      <c r="E151" s="5"/>
      <c r="F151" s="5"/>
      <c r="G151" s="5"/>
      <c r="H151" s="5"/>
      <c r="I151" s="1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36"/>
      <c r="C152" s="36"/>
      <c r="D152" s="36"/>
      <c r="E152" s="5"/>
      <c r="F152" s="5"/>
      <c r="G152" s="5"/>
      <c r="H152" s="5"/>
      <c r="I152" s="1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36"/>
      <c r="C153" s="36"/>
      <c r="D153" s="36"/>
      <c r="E153" s="5"/>
      <c r="F153" s="5"/>
      <c r="G153" s="5"/>
      <c r="H153" s="5"/>
      <c r="I153" s="1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36"/>
      <c r="C154" s="36"/>
      <c r="D154" s="36"/>
      <c r="E154" s="5"/>
      <c r="F154" s="5"/>
      <c r="G154" s="5"/>
      <c r="H154" s="5"/>
      <c r="I154" s="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36"/>
      <c r="C155" s="36"/>
      <c r="D155" s="36"/>
      <c r="E155" s="5"/>
      <c r="F155" s="5"/>
      <c r="G155" s="5"/>
      <c r="H155" s="5"/>
      <c r="I155" s="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36"/>
      <c r="C156" s="36"/>
      <c r="D156" s="36"/>
      <c r="E156" s="5"/>
      <c r="F156" s="5"/>
      <c r="G156" s="5"/>
      <c r="H156" s="5"/>
      <c r="I156" s="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36"/>
      <c r="C157" s="36"/>
      <c r="D157" s="36"/>
      <c r="E157" s="5"/>
      <c r="F157" s="5"/>
      <c r="G157" s="5"/>
      <c r="H157" s="5"/>
      <c r="I157" s="1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36"/>
      <c r="C158" s="36"/>
      <c r="D158" s="36"/>
      <c r="E158" s="5"/>
      <c r="F158" s="5"/>
      <c r="G158" s="5"/>
      <c r="H158" s="5"/>
      <c r="I158" s="1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36"/>
      <c r="C159" s="36"/>
      <c r="D159" s="36"/>
      <c r="E159" s="5"/>
      <c r="F159" s="5"/>
      <c r="G159" s="5"/>
      <c r="H159" s="5"/>
      <c r="I159" s="1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36"/>
      <c r="C160" s="36"/>
      <c r="D160" s="36"/>
      <c r="E160" s="5"/>
      <c r="F160" s="5"/>
      <c r="G160" s="5"/>
      <c r="H160" s="5"/>
      <c r="I160" s="1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36"/>
      <c r="C161" s="36"/>
      <c r="D161" s="36"/>
      <c r="E161" s="5"/>
      <c r="F161" s="5"/>
      <c r="G161" s="5"/>
      <c r="H161" s="5"/>
      <c r="I161" s="1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36"/>
      <c r="C162" s="36"/>
      <c r="D162" s="36"/>
      <c r="E162" s="5"/>
      <c r="F162" s="5"/>
      <c r="G162" s="5"/>
      <c r="H162" s="5"/>
      <c r="I162" s="1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36"/>
      <c r="C163" s="36"/>
      <c r="D163" s="36"/>
      <c r="E163" s="5"/>
      <c r="F163" s="5"/>
      <c r="G163" s="5"/>
      <c r="H163" s="5"/>
      <c r="I163" s="1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36"/>
      <c r="C164" s="36"/>
      <c r="D164" s="36"/>
      <c r="E164" s="5"/>
      <c r="F164" s="5"/>
      <c r="G164" s="5"/>
      <c r="H164" s="5"/>
      <c r="I164" s="1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36"/>
      <c r="C165" s="36"/>
      <c r="D165" s="36"/>
      <c r="E165" s="5"/>
      <c r="F165" s="5"/>
      <c r="G165" s="5"/>
      <c r="H165" s="5"/>
      <c r="I165" s="1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36"/>
      <c r="C166" s="36"/>
      <c r="D166" s="36"/>
      <c r="E166" s="5"/>
      <c r="F166" s="5"/>
      <c r="G166" s="5"/>
      <c r="H166" s="5"/>
      <c r="I166" s="1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36"/>
      <c r="C167" s="36"/>
      <c r="D167" s="36"/>
      <c r="E167" s="5"/>
      <c r="F167" s="5"/>
      <c r="G167" s="5"/>
      <c r="H167" s="5"/>
      <c r="I167" s="1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36"/>
      <c r="C168" s="36"/>
      <c r="D168" s="36"/>
      <c r="E168" s="5"/>
      <c r="F168" s="5"/>
      <c r="G168" s="5"/>
      <c r="H168" s="5"/>
      <c r="I168" s="1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36"/>
      <c r="C169" s="36"/>
      <c r="D169" s="36"/>
      <c r="E169" s="5"/>
      <c r="F169" s="5"/>
      <c r="G169" s="5"/>
      <c r="H169" s="5"/>
      <c r="I169" s="1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36"/>
      <c r="C170" s="36"/>
      <c r="D170" s="36"/>
      <c r="E170" s="5"/>
      <c r="F170" s="5"/>
      <c r="G170" s="5"/>
      <c r="H170" s="5"/>
      <c r="I170" s="1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36"/>
      <c r="C171" s="36"/>
      <c r="D171" s="36"/>
      <c r="E171" s="5"/>
      <c r="F171" s="5"/>
      <c r="G171" s="5"/>
      <c r="H171" s="5"/>
      <c r="I171" s="1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36"/>
      <c r="C172" s="36"/>
      <c r="D172" s="36"/>
      <c r="E172" s="5"/>
      <c r="F172" s="5"/>
      <c r="G172" s="5"/>
      <c r="H172" s="5"/>
      <c r="I172" s="1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36"/>
      <c r="C173" s="36"/>
      <c r="D173" s="36"/>
      <c r="E173" s="5"/>
      <c r="F173" s="5"/>
      <c r="G173" s="5"/>
      <c r="H173" s="5"/>
      <c r="I173" s="1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36"/>
      <c r="C174" s="36"/>
      <c r="D174" s="36"/>
      <c r="E174" s="5"/>
      <c r="F174" s="5"/>
      <c r="G174" s="5"/>
      <c r="H174" s="5"/>
      <c r="I174" s="1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36"/>
      <c r="C175" s="36"/>
      <c r="D175" s="36"/>
      <c r="E175" s="5"/>
      <c r="F175" s="5"/>
      <c r="G175" s="5"/>
      <c r="H175" s="5"/>
      <c r="I175" s="1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36"/>
      <c r="C176" s="36"/>
      <c r="D176" s="36"/>
      <c r="E176" s="5"/>
      <c r="F176" s="5"/>
      <c r="G176" s="5"/>
      <c r="H176" s="5"/>
      <c r="I176" s="1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36"/>
      <c r="C177" s="36"/>
      <c r="D177" s="36"/>
      <c r="E177" s="5"/>
      <c r="F177" s="5"/>
      <c r="G177" s="5"/>
      <c r="H177" s="5"/>
      <c r="I177" s="1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36"/>
      <c r="C178" s="36"/>
      <c r="D178" s="36"/>
      <c r="E178" s="5"/>
      <c r="F178" s="5"/>
      <c r="G178" s="5"/>
      <c r="H178" s="5"/>
      <c r="I178" s="1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36"/>
      <c r="C179" s="36"/>
      <c r="D179" s="36"/>
      <c r="E179" s="5"/>
      <c r="F179" s="5"/>
      <c r="G179" s="5"/>
      <c r="H179" s="5"/>
      <c r="I179" s="1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36"/>
      <c r="C180" s="36"/>
      <c r="D180" s="36"/>
      <c r="E180" s="5"/>
      <c r="F180" s="5"/>
      <c r="G180" s="5"/>
      <c r="H180" s="5"/>
      <c r="I180" s="1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36"/>
      <c r="C181" s="36"/>
      <c r="D181" s="36"/>
      <c r="E181" s="5"/>
      <c r="F181" s="5"/>
      <c r="G181" s="5"/>
      <c r="H181" s="5"/>
      <c r="I181" s="1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36"/>
      <c r="C182" s="36"/>
      <c r="D182" s="36"/>
      <c r="E182" s="5"/>
      <c r="F182" s="5"/>
      <c r="G182" s="5"/>
      <c r="H182" s="5"/>
      <c r="I182" s="1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36"/>
      <c r="C183" s="36"/>
      <c r="D183" s="36"/>
      <c r="E183" s="5"/>
      <c r="F183" s="5"/>
      <c r="G183" s="5"/>
      <c r="H183" s="5"/>
      <c r="I183" s="1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36"/>
      <c r="C184" s="36"/>
      <c r="D184" s="36"/>
      <c r="E184" s="5"/>
      <c r="F184" s="5"/>
      <c r="G184" s="5"/>
      <c r="H184" s="5"/>
      <c r="I184" s="1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36"/>
      <c r="C185" s="36"/>
      <c r="D185" s="36"/>
      <c r="E185" s="5"/>
      <c r="F185" s="5"/>
      <c r="G185" s="5"/>
      <c r="H185" s="5"/>
      <c r="I185" s="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36"/>
      <c r="C186" s="36"/>
      <c r="D186" s="36"/>
      <c r="E186" s="5"/>
      <c r="F186" s="5"/>
      <c r="G186" s="5"/>
      <c r="H186" s="5"/>
      <c r="I186" s="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36"/>
      <c r="C187" s="36"/>
      <c r="D187" s="36"/>
      <c r="E187" s="5"/>
      <c r="F187" s="5"/>
      <c r="G187" s="5"/>
      <c r="H187" s="5"/>
      <c r="I187" s="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36"/>
      <c r="C188" s="36"/>
      <c r="D188" s="36"/>
      <c r="E188" s="5"/>
      <c r="F188" s="5"/>
      <c r="G188" s="5"/>
      <c r="H188" s="5"/>
      <c r="I188" s="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36"/>
      <c r="C189" s="36"/>
      <c r="D189" s="36"/>
      <c r="E189" s="5"/>
      <c r="F189" s="5"/>
      <c r="G189" s="5"/>
      <c r="H189" s="5"/>
      <c r="I189" s="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36"/>
      <c r="C190" s="36"/>
      <c r="D190" s="36"/>
      <c r="E190" s="5"/>
      <c r="F190" s="5"/>
      <c r="G190" s="5"/>
      <c r="H190" s="5"/>
      <c r="I190" s="1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36"/>
      <c r="C191" s="36"/>
      <c r="D191" s="36"/>
      <c r="E191" s="5"/>
      <c r="F191" s="5"/>
      <c r="G191" s="5"/>
      <c r="H191" s="5"/>
      <c r="I191" s="1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36"/>
      <c r="C192" s="36"/>
      <c r="D192" s="36"/>
      <c r="E192" s="5"/>
      <c r="F192" s="5"/>
      <c r="G192" s="5"/>
      <c r="H192" s="5"/>
      <c r="I192" s="1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36"/>
      <c r="C193" s="36"/>
      <c r="D193" s="36"/>
      <c r="E193" s="5"/>
      <c r="F193" s="5"/>
      <c r="G193" s="5"/>
      <c r="H193" s="5"/>
      <c r="I193" s="1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36"/>
      <c r="C194" s="36"/>
      <c r="D194" s="36"/>
      <c r="E194" s="5"/>
      <c r="F194" s="5"/>
      <c r="G194" s="5"/>
      <c r="H194" s="5"/>
      <c r="I194" s="1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36"/>
      <c r="C195" s="36"/>
      <c r="D195" s="36"/>
      <c r="E195" s="5"/>
      <c r="F195" s="5"/>
      <c r="G195" s="5"/>
      <c r="H195" s="5"/>
      <c r="I195" s="1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36"/>
      <c r="C196" s="36"/>
      <c r="D196" s="36"/>
      <c r="E196" s="5"/>
      <c r="F196" s="5"/>
      <c r="G196" s="5"/>
      <c r="H196" s="5"/>
      <c r="I196" s="1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36"/>
      <c r="C197" s="36"/>
      <c r="D197" s="36"/>
      <c r="E197" s="5"/>
      <c r="F197" s="5"/>
      <c r="G197" s="5"/>
      <c r="H197" s="5"/>
      <c r="I197" s="1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36"/>
      <c r="C198" s="36"/>
      <c r="D198" s="36"/>
      <c r="E198" s="5"/>
      <c r="F198" s="5"/>
      <c r="G198" s="5"/>
      <c r="H198" s="5"/>
      <c r="I198" s="1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36"/>
      <c r="C199" s="36"/>
      <c r="D199" s="36"/>
      <c r="E199" s="5"/>
      <c r="F199" s="5"/>
      <c r="G199" s="5"/>
      <c r="H199" s="5"/>
      <c r="I199" s="1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36"/>
      <c r="C200" s="36"/>
      <c r="D200" s="36"/>
      <c r="E200" s="5"/>
      <c r="F200" s="5"/>
      <c r="G200" s="5"/>
      <c r="H200" s="5"/>
      <c r="I200" s="1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36"/>
      <c r="C201" s="36"/>
      <c r="D201" s="36"/>
      <c r="E201" s="5"/>
      <c r="F201" s="5"/>
      <c r="G201" s="5"/>
      <c r="H201" s="5"/>
      <c r="I201" s="1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36"/>
      <c r="C202" s="36"/>
      <c r="D202" s="36"/>
      <c r="E202" s="5"/>
      <c r="F202" s="5"/>
      <c r="G202" s="5"/>
      <c r="H202" s="5"/>
      <c r="I202" s="1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36"/>
      <c r="C203" s="36"/>
      <c r="D203" s="36"/>
      <c r="E203" s="5"/>
      <c r="F203" s="5"/>
      <c r="G203" s="5"/>
      <c r="H203" s="5"/>
      <c r="I203" s="1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36"/>
      <c r="C204" s="36"/>
      <c r="D204" s="36"/>
      <c r="E204" s="5"/>
      <c r="F204" s="5"/>
      <c r="G204" s="5"/>
      <c r="H204" s="5"/>
      <c r="I204" s="1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36"/>
      <c r="C205" s="36"/>
      <c r="D205" s="36"/>
      <c r="E205" s="5"/>
      <c r="F205" s="5"/>
      <c r="G205" s="5"/>
      <c r="H205" s="5"/>
      <c r="I205" s="1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36"/>
      <c r="C206" s="36"/>
      <c r="D206" s="36"/>
      <c r="E206" s="5"/>
      <c r="F206" s="5"/>
      <c r="G206" s="5"/>
      <c r="H206" s="5"/>
      <c r="I206" s="1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36"/>
      <c r="C207" s="36"/>
      <c r="D207" s="36"/>
      <c r="E207" s="5"/>
      <c r="F207" s="5"/>
      <c r="G207" s="5"/>
      <c r="H207" s="5"/>
      <c r="I207" s="1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36"/>
      <c r="C208" s="36"/>
      <c r="D208" s="36"/>
      <c r="E208" s="5"/>
      <c r="F208" s="5"/>
      <c r="G208" s="5"/>
      <c r="H208" s="5"/>
      <c r="I208" s="1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36"/>
      <c r="C209" s="36"/>
      <c r="D209" s="36"/>
      <c r="E209" s="5"/>
      <c r="F209" s="5"/>
      <c r="G209" s="5"/>
      <c r="H209" s="5"/>
      <c r="I209" s="1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36"/>
      <c r="C210" s="36"/>
      <c r="D210" s="36"/>
      <c r="E210" s="5"/>
      <c r="F210" s="5"/>
      <c r="G210" s="5"/>
      <c r="H210" s="5"/>
      <c r="I210" s="1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36"/>
      <c r="C211" s="36"/>
      <c r="D211" s="36"/>
      <c r="E211" s="5"/>
      <c r="F211" s="5"/>
      <c r="G211" s="5"/>
      <c r="H211" s="5"/>
      <c r="I211" s="1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36"/>
      <c r="C212" s="36"/>
      <c r="D212" s="36"/>
      <c r="E212" s="5"/>
      <c r="F212" s="1"/>
      <c r="G212" s="1"/>
      <c r="H212" s="1"/>
      <c r="I212" s="1"/>
      <c r="J212" s="1"/>
      <c r="K212" s="1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36"/>
      <c r="C213" s="36"/>
      <c r="D213" s="36"/>
      <c r="E213" s="5"/>
      <c r="F213" s="1"/>
      <c r="G213" s="1"/>
      <c r="H213" s="1"/>
      <c r="I213" s="1"/>
      <c r="J213" s="1"/>
      <c r="K213" s="1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36"/>
      <c r="C214" s="36"/>
      <c r="D214" s="36"/>
      <c r="E214" s="5"/>
      <c r="F214" s="1"/>
      <c r="G214" s="1"/>
      <c r="H214" s="1"/>
      <c r="I214" s="1"/>
      <c r="J214" s="1"/>
      <c r="K214" s="1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36"/>
      <c r="C215" s="36"/>
      <c r="D215" s="36"/>
      <c r="E215" s="5"/>
      <c r="F215" s="1"/>
      <c r="G215" s="1"/>
      <c r="H215" s="1"/>
      <c r="I215" s="1"/>
      <c r="J215" s="1"/>
      <c r="K215" s="1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36"/>
      <c r="C216" s="36"/>
      <c r="D216" s="36"/>
      <c r="E216" s="5"/>
      <c r="F216" s="1"/>
      <c r="G216" s="1"/>
      <c r="H216" s="1"/>
      <c r="I216" s="1"/>
      <c r="J216" s="1"/>
      <c r="K216" s="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36"/>
      <c r="C217" s="36"/>
      <c r="D217" s="36"/>
      <c r="E217" s="5"/>
      <c r="F217" s="1"/>
      <c r="G217" s="1"/>
      <c r="H217" s="1"/>
      <c r="I217" s="1"/>
      <c r="J217" s="1"/>
      <c r="K217" s="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36"/>
      <c r="C218" s="36"/>
      <c r="D218" s="36"/>
      <c r="E218" s="5"/>
      <c r="F218" s="1"/>
      <c r="G218" s="1"/>
      <c r="H218" s="1"/>
      <c r="I218" s="1"/>
      <c r="J218" s="1"/>
      <c r="K218" s="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36"/>
      <c r="C219" s="36"/>
      <c r="D219" s="36"/>
      <c r="E219" s="5"/>
      <c r="F219" s="1"/>
      <c r="G219" s="1"/>
      <c r="H219" s="1"/>
      <c r="I219" s="1"/>
      <c r="J219" s="1"/>
      <c r="K219" s="1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36"/>
      <c r="C220" s="36"/>
      <c r="D220" s="36"/>
      <c r="E220" s="5"/>
      <c r="F220" s="1"/>
      <c r="G220" s="1"/>
      <c r="H220" s="1"/>
      <c r="I220" s="1"/>
      <c r="J220" s="1"/>
      <c r="K220" s="1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D1"/>
    <mergeCell ref="A2:A3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328125" defaultRowHeight="15" customHeight="1" x14ac:dyDescent="0.25"/>
  <cols>
    <col min="1" max="1" width="38.90625" customWidth="1"/>
    <col min="2" max="4" width="14.90625" customWidth="1"/>
    <col min="5" max="26" width="10.7265625" customWidth="1"/>
  </cols>
  <sheetData>
    <row r="1" spans="1:26" ht="12.75" customHeight="1" x14ac:dyDescent="0.25">
      <c r="A1" s="104" t="s">
        <v>22</v>
      </c>
      <c r="B1" s="105"/>
      <c r="C1" s="105"/>
      <c r="D1" s="106"/>
      <c r="E1" s="1"/>
      <c r="F1" s="2" t="s">
        <v>1</v>
      </c>
      <c r="G1" s="37" t="s">
        <v>23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07" t="s">
        <v>3</v>
      </c>
      <c r="B2" s="4" t="s">
        <v>4</v>
      </c>
      <c r="C2" s="4" t="s">
        <v>5</v>
      </c>
      <c r="D2" s="4" t="s">
        <v>6</v>
      </c>
      <c r="E2" s="5"/>
      <c r="F2" s="5" t="s">
        <v>24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08"/>
      <c r="B3" s="6" t="s">
        <v>8</v>
      </c>
      <c r="C3" s="6" t="s">
        <v>8</v>
      </c>
      <c r="D3" s="6" t="s">
        <v>8</v>
      </c>
      <c r="E3" s="5"/>
      <c r="F3" s="1"/>
      <c r="G3" s="1"/>
      <c r="H3" s="5"/>
      <c r="I3" s="1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 t="s">
        <v>9</v>
      </c>
      <c r="B4" s="8"/>
      <c r="C4" s="8"/>
      <c r="D4" s="26"/>
      <c r="E4" s="5"/>
      <c r="F4" s="5" t="s">
        <v>24</v>
      </c>
      <c r="G4" s="5"/>
      <c r="H4" s="5"/>
      <c r="I4" s="1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9" t="s">
        <v>10</v>
      </c>
      <c r="B5" s="8">
        <f t="shared" ref="B5:D5" si="0">B16</f>
        <v>8783.9</v>
      </c>
      <c r="C5" s="8">
        <f t="shared" si="0"/>
        <v>9033</v>
      </c>
      <c r="D5" s="8">
        <f t="shared" si="0"/>
        <v>9006.2999999999993</v>
      </c>
      <c r="E5" s="5"/>
      <c r="F5" s="5" t="s">
        <v>24</v>
      </c>
      <c r="G5" s="5"/>
      <c r="H5" s="5"/>
      <c r="I5" s="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10" t="s">
        <v>11</v>
      </c>
      <c r="B6" s="11">
        <f t="shared" ref="B6:D6" si="1">-B18</f>
        <v>-6153</v>
      </c>
      <c r="C6" s="11">
        <f t="shared" si="1"/>
        <v>-6372</v>
      </c>
      <c r="D6" s="11">
        <f t="shared" si="1"/>
        <v>-6470</v>
      </c>
      <c r="E6" s="5"/>
      <c r="F6" s="5" t="s">
        <v>24</v>
      </c>
      <c r="G6" s="5"/>
      <c r="H6" s="5"/>
      <c r="I6" s="1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12" t="s">
        <v>12</v>
      </c>
      <c r="B7" s="13">
        <f t="shared" ref="B7:D7" si="2">SUM(B5:B6)</f>
        <v>2630.8999999999996</v>
      </c>
      <c r="C7" s="13">
        <f t="shared" si="2"/>
        <v>2661</v>
      </c>
      <c r="D7" s="13">
        <f t="shared" si="2"/>
        <v>2536.2999999999993</v>
      </c>
      <c r="E7" s="5"/>
      <c r="F7" s="5" t="s">
        <v>24</v>
      </c>
      <c r="G7" s="5"/>
      <c r="H7" s="5"/>
      <c r="I7" s="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9" t="s">
        <v>13</v>
      </c>
      <c r="B8" s="8">
        <v>-158</v>
      </c>
      <c r="C8" s="8">
        <v>-194</v>
      </c>
      <c r="D8" s="8">
        <v>-189</v>
      </c>
      <c r="E8" s="5"/>
      <c r="F8" s="5" t="s">
        <v>24</v>
      </c>
      <c r="G8" s="5"/>
      <c r="H8" s="5"/>
      <c r="I8" s="1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9" t="s">
        <v>14</v>
      </c>
      <c r="B9" s="8">
        <v>-356</v>
      </c>
      <c r="C9" s="8">
        <v>-341</v>
      </c>
      <c r="D9" s="8">
        <v>-304.89999999999998</v>
      </c>
      <c r="E9" s="5"/>
      <c r="F9" s="5" t="s">
        <v>24</v>
      </c>
      <c r="G9" s="5"/>
      <c r="H9" s="5"/>
      <c r="I9" s="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14" t="s">
        <v>15</v>
      </c>
      <c r="B10" s="15">
        <v>-1416</v>
      </c>
      <c r="C10" s="15">
        <v>-1507</v>
      </c>
      <c r="D10" s="15">
        <v>-1469</v>
      </c>
      <c r="E10" s="5"/>
      <c r="F10" s="5" t="s">
        <v>24</v>
      </c>
      <c r="G10" s="5"/>
      <c r="H10" s="5"/>
      <c r="I10" s="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6" t="s">
        <v>16</v>
      </c>
      <c r="B11" s="13">
        <f t="shared" ref="B11:D11" si="3">SUM(B7:B9)</f>
        <v>2116.8999999999996</v>
      </c>
      <c r="C11" s="13">
        <f t="shared" si="3"/>
        <v>2126</v>
      </c>
      <c r="D11" s="13">
        <f t="shared" si="3"/>
        <v>2042.3999999999992</v>
      </c>
      <c r="E11" s="5"/>
      <c r="F11" s="5" t="s">
        <v>24</v>
      </c>
      <c r="G11" s="5"/>
      <c r="H11" s="5"/>
      <c r="I11" s="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5">
      <c r="A12" s="17"/>
      <c r="B12" s="18"/>
      <c r="C12" s="18"/>
      <c r="D12" s="18"/>
      <c r="E12" s="5"/>
      <c r="F12" s="5" t="s">
        <v>24</v>
      </c>
      <c r="G12" s="5"/>
      <c r="H12" s="5"/>
      <c r="I12" s="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5">
      <c r="A13" s="19" t="s">
        <v>17</v>
      </c>
      <c r="B13" s="38"/>
      <c r="C13" s="38"/>
      <c r="D13" s="38"/>
      <c r="E13" s="5"/>
      <c r="F13" s="5" t="s">
        <v>24</v>
      </c>
      <c r="G13" s="5"/>
      <c r="H13" s="5"/>
      <c r="I13" s="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5">
      <c r="A14" s="21" t="s">
        <v>18</v>
      </c>
      <c r="B14" s="13">
        <v>5465</v>
      </c>
      <c r="C14" s="13">
        <v>5641</v>
      </c>
      <c r="D14" s="13">
        <v>5764</v>
      </c>
      <c r="E14" s="5"/>
      <c r="F14" s="5" t="s">
        <v>24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5">
      <c r="A15" s="39" t="s">
        <v>19</v>
      </c>
      <c r="B15" s="40">
        <v>3371.2000000000003</v>
      </c>
      <c r="C15" s="40">
        <v>3363</v>
      </c>
      <c r="D15" s="40">
        <v>3101.5000000000005</v>
      </c>
      <c r="E15" s="5"/>
      <c r="F15" s="5" t="s">
        <v>24</v>
      </c>
      <c r="G15" s="5"/>
      <c r="H15" s="5"/>
      <c r="I15" s="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5">
      <c r="A16" s="27" t="s">
        <v>10</v>
      </c>
      <c r="B16" s="41">
        <v>8783.9</v>
      </c>
      <c r="C16" s="41">
        <v>9033</v>
      </c>
      <c r="D16" s="42">
        <v>9006.2999999999993</v>
      </c>
      <c r="E16" s="5"/>
      <c r="F16" s="5" t="s">
        <v>24</v>
      </c>
      <c r="G16" s="5"/>
      <c r="H16" s="5"/>
      <c r="I16" s="1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39"/>
      <c r="B17" s="43"/>
      <c r="C17" s="43"/>
      <c r="D17" s="44"/>
      <c r="E17" s="5"/>
      <c r="F17" s="5" t="s">
        <v>24</v>
      </c>
      <c r="G17" s="5"/>
      <c r="H17" s="5"/>
      <c r="I17" s="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31" t="s">
        <v>11</v>
      </c>
      <c r="B18" s="41">
        <v>6153</v>
      </c>
      <c r="C18" s="41">
        <v>6372</v>
      </c>
      <c r="D18" s="42">
        <v>6470</v>
      </c>
      <c r="E18" s="5"/>
      <c r="F18" s="5" t="s">
        <v>24</v>
      </c>
      <c r="G18" s="5"/>
      <c r="H18" s="5"/>
      <c r="I18" s="1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9"/>
      <c r="B19" s="32"/>
      <c r="C19" s="32"/>
      <c r="D19" s="32"/>
      <c r="E19" s="5"/>
      <c r="F19" s="5" t="s">
        <v>24</v>
      </c>
      <c r="G19" s="5"/>
      <c r="H19" s="5"/>
      <c r="I19" s="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33" t="s">
        <v>20</v>
      </c>
      <c r="B20" s="34">
        <v>9106</v>
      </c>
      <c r="C20" s="34">
        <v>9281</v>
      </c>
      <c r="D20" s="34">
        <v>9324</v>
      </c>
      <c r="E20" s="5"/>
      <c r="F20" s="5" t="s">
        <v>24</v>
      </c>
      <c r="G20" s="5"/>
      <c r="H20" s="5"/>
      <c r="I20" s="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35" t="s">
        <v>21</v>
      </c>
      <c r="B21" s="34">
        <f t="shared" ref="B21:D21" si="4">B14*1000/B20/12</f>
        <v>50.012812065304928</v>
      </c>
      <c r="C21" s="34">
        <f t="shared" si="4"/>
        <v>50.650073627123511</v>
      </c>
      <c r="D21" s="34">
        <f t="shared" si="4"/>
        <v>51.515801515801513</v>
      </c>
      <c r="E21" s="5"/>
      <c r="F21" s="5" t="s">
        <v>24</v>
      </c>
      <c r="G21" s="5"/>
      <c r="H21" s="5"/>
      <c r="I21" s="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36"/>
      <c r="C22" s="36"/>
      <c r="D22" s="36"/>
      <c r="E22" s="5"/>
      <c r="F22" s="5" t="s">
        <v>24</v>
      </c>
      <c r="G22" s="5"/>
      <c r="H22" s="5"/>
      <c r="I22" s="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36"/>
      <c r="C23" s="36"/>
      <c r="D23" s="36"/>
      <c r="E23" s="5"/>
      <c r="F23" s="5"/>
      <c r="G23" s="5"/>
      <c r="H23" s="5"/>
      <c r="I23" s="1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36"/>
      <c r="C24" s="36"/>
      <c r="D24" s="36"/>
      <c r="E24" s="5"/>
      <c r="F24" s="5"/>
      <c r="G24" s="5"/>
      <c r="H24" s="5"/>
      <c r="I24" s="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36"/>
      <c r="C25" s="36"/>
      <c r="D25" s="36"/>
      <c r="E25" s="5"/>
      <c r="F25" s="5"/>
      <c r="G25" s="5"/>
      <c r="H25" s="5"/>
      <c r="I25" s="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36"/>
      <c r="C26" s="36"/>
      <c r="D26" s="36"/>
      <c r="E26" s="5"/>
      <c r="F26" s="5"/>
      <c r="G26" s="5"/>
      <c r="H26" s="5"/>
      <c r="I26" s="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36"/>
      <c r="C27" s="36"/>
      <c r="D27" s="36"/>
      <c r="E27" s="5"/>
      <c r="F27" s="5"/>
      <c r="G27" s="5"/>
      <c r="H27" s="5"/>
      <c r="I27" s="1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36"/>
      <c r="C28" s="36"/>
      <c r="D28" s="36"/>
      <c r="E28" s="5"/>
      <c r="F28" s="5"/>
      <c r="G28" s="5"/>
      <c r="H28" s="5"/>
      <c r="I28" s="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36"/>
      <c r="C29" s="36"/>
      <c r="D29" s="36"/>
      <c r="E29" s="5"/>
      <c r="F29" s="5"/>
      <c r="G29" s="5"/>
      <c r="H29" s="5"/>
      <c r="I29" s="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36"/>
      <c r="C30" s="36"/>
      <c r="D30" s="36"/>
      <c r="E30" s="5"/>
      <c r="F30" s="5"/>
      <c r="G30" s="5"/>
      <c r="H30" s="5"/>
      <c r="I30" s="1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36"/>
      <c r="C31" s="36"/>
      <c r="D31" s="36"/>
      <c r="E31" s="5"/>
      <c r="F31" s="5"/>
      <c r="G31" s="5"/>
      <c r="H31" s="5"/>
      <c r="I31" s="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36"/>
      <c r="C32" s="36"/>
      <c r="D32" s="36"/>
      <c r="E32" s="5"/>
      <c r="F32" s="5"/>
      <c r="G32" s="5"/>
      <c r="H32" s="5"/>
      <c r="I32" s="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36"/>
      <c r="C33" s="36"/>
      <c r="D33" s="36"/>
      <c r="E33" s="5"/>
      <c r="F33" s="5"/>
      <c r="G33" s="5"/>
      <c r="H33" s="5"/>
      <c r="I33" s="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36"/>
      <c r="C34" s="36"/>
      <c r="D34" s="36"/>
      <c r="E34" s="5"/>
      <c r="F34" s="5"/>
      <c r="G34" s="5"/>
      <c r="H34" s="5"/>
      <c r="I34" s="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36"/>
      <c r="C35" s="36"/>
      <c r="D35" s="36"/>
      <c r="E35" s="5"/>
      <c r="F35" s="5"/>
      <c r="G35" s="5"/>
      <c r="H35" s="5"/>
      <c r="I35" s="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36"/>
      <c r="C36" s="36"/>
      <c r="D36" s="36"/>
      <c r="E36" s="5"/>
      <c r="F36" s="5"/>
      <c r="G36" s="5"/>
      <c r="H36" s="5"/>
      <c r="I36" s="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36"/>
      <c r="C37" s="36"/>
      <c r="D37" s="36"/>
      <c r="E37" s="5"/>
      <c r="F37" s="5"/>
      <c r="G37" s="5"/>
      <c r="H37" s="5"/>
      <c r="I37" s="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36"/>
      <c r="C38" s="36"/>
      <c r="D38" s="36"/>
      <c r="E38" s="5"/>
      <c r="F38" s="5"/>
      <c r="G38" s="5"/>
      <c r="H38" s="5"/>
      <c r="I38" s="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36"/>
      <c r="C39" s="36"/>
      <c r="D39" s="36"/>
      <c r="E39" s="5"/>
      <c r="F39" s="5"/>
      <c r="G39" s="5"/>
      <c r="H39" s="5"/>
      <c r="I39" s="1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36"/>
      <c r="C40" s="36"/>
      <c r="D40" s="36"/>
      <c r="E40" s="5"/>
      <c r="F40" s="5"/>
      <c r="G40" s="5"/>
      <c r="H40" s="5"/>
      <c r="I40" s="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36"/>
      <c r="C41" s="36"/>
      <c r="D41" s="36"/>
      <c r="E41" s="5"/>
      <c r="F41" s="5"/>
      <c r="G41" s="5"/>
      <c r="H41" s="5"/>
      <c r="I41" s="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36"/>
      <c r="C42" s="36"/>
      <c r="D42" s="36"/>
      <c r="E42" s="5"/>
      <c r="F42" s="5"/>
      <c r="G42" s="5"/>
      <c r="H42" s="5"/>
      <c r="I42" s="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36"/>
      <c r="C43" s="36"/>
      <c r="D43" s="36"/>
      <c r="E43" s="5"/>
      <c r="F43" s="5"/>
      <c r="G43" s="5"/>
      <c r="H43" s="5"/>
      <c r="I43" s="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36"/>
      <c r="C44" s="36"/>
      <c r="D44" s="36"/>
      <c r="E44" s="5"/>
      <c r="F44" s="5"/>
      <c r="G44" s="5"/>
      <c r="H44" s="5"/>
      <c r="I44" s="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36"/>
      <c r="C45" s="36"/>
      <c r="D45" s="36"/>
      <c r="E45" s="5"/>
      <c r="F45" s="5"/>
      <c r="G45" s="5"/>
      <c r="H45" s="5"/>
      <c r="I45" s="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36"/>
      <c r="C46" s="36"/>
      <c r="D46" s="36"/>
      <c r="E46" s="5"/>
      <c r="F46" s="5"/>
      <c r="G46" s="5"/>
      <c r="H46" s="5"/>
      <c r="I46" s="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36"/>
      <c r="C47" s="36"/>
      <c r="D47" s="36"/>
      <c r="E47" s="5"/>
      <c r="F47" s="5"/>
      <c r="G47" s="5"/>
      <c r="H47" s="5"/>
      <c r="I47" s="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36"/>
      <c r="C48" s="36"/>
      <c r="D48" s="36"/>
      <c r="E48" s="5"/>
      <c r="F48" s="5"/>
      <c r="G48" s="5"/>
      <c r="H48" s="5"/>
      <c r="I48" s="1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36"/>
      <c r="C49" s="36"/>
      <c r="D49" s="36"/>
      <c r="E49" s="5"/>
      <c r="F49" s="5"/>
      <c r="G49" s="5"/>
      <c r="H49" s="5"/>
      <c r="I49" s="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36"/>
      <c r="C50" s="36"/>
      <c r="D50" s="36"/>
      <c r="E50" s="5"/>
      <c r="F50" s="5"/>
      <c r="G50" s="5"/>
      <c r="H50" s="5"/>
      <c r="I50" s="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36"/>
      <c r="C51" s="36"/>
      <c r="D51" s="36"/>
      <c r="E51" s="5"/>
      <c r="F51" s="5"/>
      <c r="G51" s="5"/>
      <c r="H51" s="5"/>
      <c r="I51" s="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36"/>
      <c r="C52" s="36"/>
      <c r="D52" s="36"/>
      <c r="E52" s="5"/>
      <c r="F52" s="5"/>
      <c r="G52" s="5"/>
      <c r="H52" s="5"/>
      <c r="I52" s="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36"/>
      <c r="C53" s="36"/>
      <c r="D53" s="36"/>
      <c r="E53" s="5"/>
      <c r="F53" s="5"/>
      <c r="G53" s="5"/>
      <c r="H53" s="5"/>
      <c r="I53" s="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36"/>
      <c r="C54" s="36"/>
      <c r="D54" s="36"/>
      <c r="E54" s="5"/>
      <c r="F54" s="5"/>
      <c r="G54" s="5"/>
      <c r="H54" s="5"/>
      <c r="I54" s="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36"/>
      <c r="C55" s="36"/>
      <c r="D55" s="36"/>
      <c r="E55" s="5"/>
      <c r="F55" s="5"/>
      <c r="G55" s="5"/>
      <c r="H55" s="5"/>
      <c r="I55" s="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36"/>
      <c r="C56" s="36"/>
      <c r="D56" s="36"/>
      <c r="E56" s="5"/>
      <c r="F56" s="5"/>
      <c r="G56" s="5"/>
      <c r="H56" s="5"/>
      <c r="I56" s="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36"/>
      <c r="C57" s="36"/>
      <c r="D57" s="36"/>
      <c r="E57" s="5"/>
      <c r="F57" s="5"/>
      <c r="G57" s="5"/>
      <c r="H57" s="5"/>
      <c r="I57" s="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36"/>
      <c r="C58" s="36"/>
      <c r="D58" s="36"/>
      <c r="E58" s="5"/>
      <c r="F58" s="5"/>
      <c r="G58" s="5"/>
      <c r="H58" s="5"/>
      <c r="I58" s="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36"/>
      <c r="C59" s="36"/>
      <c r="D59" s="36"/>
      <c r="E59" s="5"/>
      <c r="F59" s="5"/>
      <c r="G59" s="5"/>
      <c r="H59" s="5"/>
      <c r="I59" s="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36"/>
      <c r="C60" s="36"/>
      <c r="D60" s="36"/>
      <c r="E60" s="5"/>
      <c r="F60" s="5"/>
      <c r="G60" s="5"/>
      <c r="H60" s="5"/>
      <c r="I60" s="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36"/>
      <c r="C61" s="36"/>
      <c r="D61" s="36"/>
      <c r="E61" s="5"/>
      <c r="F61" s="5"/>
      <c r="G61" s="5"/>
      <c r="H61" s="5"/>
      <c r="I61" s="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36"/>
      <c r="C62" s="36"/>
      <c r="D62" s="36"/>
      <c r="E62" s="5"/>
      <c r="F62" s="5"/>
      <c r="G62" s="5"/>
      <c r="H62" s="5"/>
      <c r="I62" s="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36"/>
      <c r="C63" s="36"/>
      <c r="D63" s="36"/>
      <c r="E63" s="5"/>
      <c r="F63" s="5"/>
      <c r="G63" s="5"/>
      <c r="H63" s="5"/>
      <c r="I63" s="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36"/>
      <c r="C64" s="36"/>
      <c r="D64" s="36"/>
      <c r="E64" s="5"/>
      <c r="F64" s="5"/>
      <c r="G64" s="5"/>
      <c r="H64" s="5"/>
      <c r="I64" s="1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36"/>
      <c r="C65" s="36"/>
      <c r="D65" s="36"/>
      <c r="E65" s="5"/>
      <c r="F65" s="5"/>
      <c r="G65" s="5"/>
      <c r="H65" s="5"/>
      <c r="I65" s="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36"/>
      <c r="C66" s="36"/>
      <c r="D66" s="36"/>
      <c r="E66" s="5"/>
      <c r="F66" s="5"/>
      <c r="G66" s="5"/>
      <c r="H66" s="5"/>
      <c r="I66" s="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36"/>
      <c r="C67" s="36"/>
      <c r="D67" s="36"/>
      <c r="E67" s="5"/>
      <c r="F67" s="5"/>
      <c r="G67" s="5"/>
      <c r="H67" s="5"/>
      <c r="I67" s="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36"/>
      <c r="C68" s="36"/>
      <c r="D68" s="36"/>
      <c r="E68" s="5"/>
      <c r="F68" s="5"/>
      <c r="G68" s="5"/>
      <c r="H68" s="5"/>
      <c r="I68" s="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36"/>
      <c r="C69" s="36"/>
      <c r="D69" s="36"/>
      <c r="E69" s="5"/>
      <c r="F69" s="5"/>
      <c r="G69" s="5"/>
      <c r="H69" s="5"/>
      <c r="I69" s="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36"/>
      <c r="C70" s="36"/>
      <c r="D70" s="36"/>
      <c r="E70" s="5"/>
      <c r="F70" s="5"/>
      <c r="G70" s="5"/>
      <c r="H70" s="5"/>
      <c r="I70" s="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36"/>
      <c r="C71" s="36"/>
      <c r="D71" s="36"/>
      <c r="E71" s="5"/>
      <c r="F71" s="5"/>
      <c r="G71" s="5"/>
      <c r="H71" s="5"/>
      <c r="I71" s="1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36"/>
      <c r="C72" s="36"/>
      <c r="D72" s="36"/>
      <c r="E72" s="5"/>
      <c r="F72" s="5"/>
      <c r="G72" s="5"/>
      <c r="H72" s="5"/>
      <c r="I72" s="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36"/>
      <c r="C73" s="36"/>
      <c r="D73" s="36"/>
      <c r="E73" s="5"/>
      <c r="F73" s="5"/>
      <c r="G73" s="5"/>
      <c r="H73" s="5"/>
      <c r="I73" s="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36"/>
      <c r="C74" s="36"/>
      <c r="D74" s="36"/>
      <c r="E74" s="5"/>
      <c r="F74" s="5"/>
      <c r="G74" s="5"/>
      <c r="H74" s="5"/>
      <c r="I74" s="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36"/>
      <c r="C75" s="36"/>
      <c r="D75" s="36"/>
      <c r="E75" s="5"/>
      <c r="F75" s="5"/>
      <c r="G75" s="5"/>
      <c r="H75" s="5"/>
      <c r="I75" s="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36"/>
      <c r="C76" s="36"/>
      <c r="D76" s="36"/>
      <c r="E76" s="5"/>
      <c r="F76" s="5"/>
      <c r="G76" s="5"/>
      <c r="H76" s="5"/>
      <c r="I76" s="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36"/>
      <c r="C77" s="36"/>
      <c r="D77" s="36"/>
      <c r="E77" s="5"/>
      <c r="F77" s="5"/>
      <c r="G77" s="5"/>
      <c r="H77" s="5"/>
      <c r="I77" s="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36"/>
      <c r="C78" s="36"/>
      <c r="D78" s="36"/>
      <c r="E78" s="5"/>
      <c r="F78" s="5"/>
      <c r="G78" s="5"/>
      <c r="H78" s="5"/>
      <c r="I78" s="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36"/>
      <c r="C79" s="36"/>
      <c r="D79" s="36"/>
      <c r="E79" s="5"/>
      <c r="F79" s="5"/>
      <c r="G79" s="5"/>
      <c r="H79" s="5"/>
      <c r="I79" s="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36"/>
      <c r="C80" s="36"/>
      <c r="D80" s="36"/>
      <c r="E80" s="5"/>
      <c r="F80" s="5"/>
      <c r="G80" s="5"/>
      <c r="H80" s="5"/>
      <c r="I80" s="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36"/>
      <c r="C81" s="36"/>
      <c r="D81" s="36"/>
      <c r="E81" s="5"/>
      <c r="F81" s="5"/>
      <c r="G81" s="5"/>
      <c r="H81" s="5"/>
      <c r="I81" s="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36"/>
      <c r="C82" s="36"/>
      <c r="D82" s="36"/>
      <c r="E82" s="5"/>
      <c r="F82" s="5"/>
      <c r="G82" s="5"/>
      <c r="H82" s="5"/>
      <c r="I82" s="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36"/>
      <c r="C83" s="36"/>
      <c r="D83" s="36"/>
      <c r="E83" s="5"/>
      <c r="F83" s="5"/>
      <c r="G83" s="5"/>
      <c r="H83" s="5"/>
      <c r="I83" s="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36"/>
      <c r="C84" s="36"/>
      <c r="D84" s="36"/>
      <c r="E84" s="5"/>
      <c r="F84" s="5"/>
      <c r="G84" s="5"/>
      <c r="H84" s="5"/>
      <c r="I84" s="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36"/>
      <c r="C85" s="36"/>
      <c r="D85" s="36"/>
      <c r="E85" s="5"/>
      <c r="F85" s="5"/>
      <c r="G85" s="5"/>
      <c r="H85" s="5"/>
      <c r="I85" s="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36"/>
      <c r="C86" s="36"/>
      <c r="D86" s="36"/>
      <c r="E86" s="5"/>
      <c r="F86" s="5"/>
      <c r="G86" s="5"/>
      <c r="H86" s="5"/>
      <c r="I86" s="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36"/>
      <c r="C87" s="36"/>
      <c r="D87" s="36"/>
      <c r="E87" s="5"/>
      <c r="F87" s="5"/>
      <c r="G87" s="5"/>
      <c r="H87" s="5"/>
      <c r="I87" s="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36"/>
      <c r="C88" s="36"/>
      <c r="D88" s="36"/>
      <c r="E88" s="5"/>
      <c r="F88" s="5"/>
      <c r="G88" s="5"/>
      <c r="H88" s="5"/>
      <c r="I88" s="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36"/>
      <c r="C89" s="36"/>
      <c r="D89" s="36"/>
      <c r="E89" s="5"/>
      <c r="F89" s="5"/>
      <c r="G89" s="5"/>
      <c r="H89" s="5"/>
      <c r="I89" s="1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36"/>
      <c r="C90" s="36"/>
      <c r="D90" s="36"/>
      <c r="E90" s="5"/>
      <c r="F90" s="5"/>
      <c r="G90" s="5"/>
      <c r="H90" s="5"/>
      <c r="I90" s="1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36"/>
      <c r="C91" s="36"/>
      <c r="D91" s="36"/>
      <c r="E91" s="5"/>
      <c r="F91" s="5"/>
      <c r="G91" s="5"/>
      <c r="H91" s="5"/>
      <c r="I91" s="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36"/>
      <c r="C92" s="36"/>
      <c r="D92" s="36"/>
      <c r="E92" s="5"/>
      <c r="F92" s="5"/>
      <c r="G92" s="5"/>
      <c r="H92" s="5"/>
      <c r="I92" s="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36"/>
      <c r="C93" s="36"/>
      <c r="D93" s="36"/>
      <c r="E93" s="5"/>
      <c r="F93" s="5"/>
      <c r="G93" s="5"/>
      <c r="H93" s="5"/>
      <c r="I93" s="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36"/>
      <c r="C94" s="36"/>
      <c r="D94" s="36"/>
      <c r="E94" s="5"/>
      <c r="F94" s="5"/>
      <c r="G94" s="5"/>
      <c r="H94" s="5"/>
      <c r="I94" s="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36"/>
      <c r="C95" s="36"/>
      <c r="D95" s="36"/>
      <c r="E95" s="5"/>
      <c r="F95" s="5"/>
      <c r="G95" s="5"/>
      <c r="H95" s="5"/>
      <c r="I95" s="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36"/>
      <c r="C96" s="36"/>
      <c r="D96" s="36"/>
      <c r="E96" s="5"/>
      <c r="F96" s="5"/>
      <c r="G96" s="5"/>
      <c r="H96" s="5"/>
      <c r="I96" s="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36"/>
      <c r="C97" s="36"/>
      <c r="D97" s="36"/>
      <c r="E97" s="5"/>
      <c r="F97" s="5"/>
      <c r="G97" s="5"/>
      <c r="H97" s="5"/>
      <c r="I97" s="1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36"/>
      <c r="C98" s="36"/>
      <c r="D98" s="36"/>
      <c r="E98" s="5"/>
      <c r="F98" s="5"/>
      <c r="G98" s="5"/>
      <c r="H98" s="5"/>
      <c r="I98" s="1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36"/>
      <c r="C99" s="36"/>
      <c r="D99" s="36"/>
      <c r="E99" s="5"/>
      <c r="F99" s="5"/>
      <c r="G99" s="5"/>
      <c r="H99" s="5"/>
      <c r="I99" s="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36"/>
      <c r="C100" s="36"/>
      <c r="D100" s="36"/>
      <c r="E100" s="5"/>
      <c r="F100" s="5"/>
      <c r="G100" s="5"/>
      <c r="H100" s="5"/>
      <c r="I100" s="1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36"/>
      <c r="C101" s="36"/>
      <c r="D101" s="36"/>
      <c r="E101" s="5"/>
      <c r="F101" s="5"/>
      <c r="G101" s="5"/>
      <c r="H101" s="5"/>
      <c r="I101" s="1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36"/>
      <c r="C102" s="36"/>
      <c r="D102" s="36"/>
      <c r="E102" s="5"/>
      <c r="F102" s="5"/>
      <c r="G102" s="5"/>
      <c r="H102" s="5"/>
      <c r="I102" s="1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36"/>
      <c r="C103" s="36"/>
      <c r="D103" s="36"/>
      <c r="E103" s="5"/>
      <c r="F103" s="5"/>
      <c r="G103" s="5"/>
      <c r="H103" s="5"/>
      <c r="I103" s="1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36"/>
      <c r="C104" s="36"/>
      <c r="D104" s="36"/>
      <c r="E104" s="5"/>
      <c r="F104" s="5"/>
      <c r="G104" s="5"/>
      <c r="H104" s="5"/>
      <c r="I104" s="1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36"/>
      <c r="C105" s="36"/>
      <c r="D105" s="36"/>
      <c r="E105" s="5"/>
      <c r="F105" s="5"/>
      <c r="G105" s="5"/>
      <c r="H105" s="5"/>
      <c r="I105" s="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36"/>
      <c r="C106" s="36"/>
      <c r="D106" s="36"/>
      <c r="E106" s="5"/>
      <c r="F106" s="5"/>
      <c r="G106" s="5"/>
      <c r="H106" s="5"/>
      <c r="I106" s="1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36"/>
      <c r="C107" s="36"/>
      <c r="D107" s="36"/>
      <c r="E107" s="5"/>
      <c r="F107" s="5"/>
      <c r="G107" s="5"/>
      <c r="H107" s="5"/>
      <c r="I107" s="1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36"/>
      <c r="C108" s="36"/>
      <c r="D108" s="36"/>
      <c r="E108" s="5"/>
      <c r="F108" s="5"/>
      <c r="G108" s="5"/>
      <c r="H108" s="5"/>
      <c r="I108" s="1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36"/>
      <c r="C109" s="36"/>
      <c r="D109" s="36"/>
      <c r="E109" s="5"/>
      <c r="F109" s="5"/>
      <c r="G109" s="5"/>
      <c r="H109" s="5"/>
      <c r="I109" s="1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36"/>
      <c r="C110" s="36"/>
      <c r="D110" s="36"/>
      <c r="E110" s="5"/>
      <c r="F110" s="5"/>
      <c r="G110" s="5"/>
      <c r="H110" s="5"/>
      <c r="I110" s="1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36"/>
      <c r="C111" s="36"/>
      <c r="D111" s="36"/>
      <c r="E111" s="5"/>
      <c r="F111" s="5"/>
      <c r="G111" s="5"/>
      <c r="H111" s="5"/>
      <c r="I111" s="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36"/>
      <c r="C112" s="36"/>
      <c r="D112" s="36"/>
      <c r="E112" s="5"/>
      <c r="F112" s="5"/>
      <c r="G112" s="5"/>
      <c r="H112" s="5"/>
      <c r="I112" s="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36"/>
      <c r="C113" s="36"/>
      <c r="D113" s="36"/>
      <c r="E113" s="5"/>
      <c r="F113" s="5"/>
      <c r="G113" s="5"/>
      <c r="H113" s="5"/>
      <c r="I113" s="1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36"/>
      <c r="C114" s="36"/>
      <c r="D114" s="36"/>
      <c r="E114" s="5"/>
      <c r="F114" s="5"/>
      <c r="G114" s="5"/>
      <c r="H114" s="5"/>
      <c r="I114" s="1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36"/>
      <c r="C115" s="36"/>
      <c r="D115" s="36"/>
      <c r="E115" s="5"/>
      <c r="F115" s="5"/>
      <c r="G115" s="5"/>
      <c r="H115" s="5"/>
      <c r="I115" s="1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36"/>
      <c r="C116" s="36"/>
      <c r="D116" s="36"/>
      <c r="E116" s="5"/>
      <c r="F116" s="5"/>
      <c r="G116" s="5"/>
      <c r="H116" s="5"/>
      <c r="I116" s="1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36"/>
      <c r="C117" s="36"/>
      <c r="D117" s="36"/>
      <c r="E117" s="5"/>
      <c r="F117" s="5"/>
      <c r="G117" s="5"/>
      <c r="H117" s="5"/>
      <c r="I117" s="1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36"/>
      <c r="C118" s="36"/>
      <c r="D118" s="36"/>
      <c r="E118" s="5"/>
      <c r="F118" s="5"/>
      <c r="G118" s="5"/>
      <c r="H118" s="5"/>
      <c r="I118" s="1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36"/>
      <c r="C119" s="36"/>
      <c r="D119" s="36"/>
      <c r="E119" s="5"/>
      <c r="F119" s="5"/>
      <c r="G119" s="5"/>
      <c r="H119" s="5"/>
      <c r="I119" s="1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36"/>
      <c r="C120" s="36"/>
      <c r="D120" s="36"/>
      <c r="E120" s="5"/>
      <c r="F120" s="5"/>
      <c r="G120" s="5"/>
      <c r="H120" s="5"/>
      <c r="I120" s="1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36"/>
      <c r="C121" s="36"/>
      <c r="D121" s="36"/>
      <c r="E121" s="5"/>
      <c r="F121" s="5"/>
      <c r="G121" s="5"/>
      <c r="H121" s="5"/>
      <c r="I121" s="1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36"/>
      <c r="C122" s="36"/>
      <c r="D122" s="36"/>
      <c r="E122" s="5"/>
      <c r="F122" s="5"/>
      <c r="G122" s="5"/>
      <c r="H122" s="5"/>
      <c r="I122" s="1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36"/>
      <c r="C123" s="36"/>
      <c r="D123" s="36"/>
      <c r="E123" s="5"/>
      <c r="F123" s="5"/>
      <c r="G123" s="5"/>
      <c r="H123" s="5"/>
      <c r="I123" s="1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36"/>
      <c r="C124" s="36"/>
      <c r="D124" s="36"/>
      <c r="E124" s="5"/>
      <c r="F124" s="5"/>
      <c r="G124" s="5"/>
      <c r="H124" s="5"/>
      <c r="I124" s="1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36"/>
      <c r="C125" s="36"/>
      <c r="D125" s="36"/>
      <c r="E125" s="5"/>
      <c r="F125" s="5"/>
      <c r="G125" s="5"/>
      <c r="H125" s="5"/>
      <c r="I125" s="1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36"/>
      <c r="C126" s="36"/>
      <c r="D126" s="36"/>
      <c r="E126" s="5"/>
      <c r="F126" s="5"/>
      <c r="G126" s="5"/>
      <c r="H126" s="5"/>
      <c r="I126" s="1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36"/>
      <c r="C127" s="36"/>
      <c r="D127" s="36"/>
      <c r="E127" s="5"/>
      <c r="F127" s="5"/>
      <c r="G127" s="5"/>
      <c r="H127" s="5"/>
      <c r="I127" s="1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36"/>
      <c r="C128" s="36"/>
      <c r="D128" s="36"/>
      <c r="E128" s="5"/>
      <c r="F128" s="5"/>
      <c r="G128" s="5"/>
      <c r="H128" s="5"/>
      <c r="I128" s="1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36"/>
      <c r="C129" s="36"/>
      <c r="D129" s="36"/>
      <c r="E129" s="5"/>
      <c r="F129" s="5"/>
      <c r="G129" s="5"/>
      <c r="H129" s="5"/>
      <c r="I129" s="1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36"/>
      <c r="C130" s="36"/>
      <c r="D130" s="36"/>
      <c r="E130" s="5"/>
      <c r="F130" s="5"/>
      <c r="G130" s="5"/>
      <c r="H130" s="5"/>
      <c r="I130" s="1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36"/>
      <c r="C131" s="36"/>
      <c r="D131" s="36"/>
      <c r="E131" s="5"/>
      <c r="F131" s="5"/>
      <c r="G131" s="5"/>
      <c r="H131" s="5"/>
      <c r="I131" s="1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36"/>
      <c r="C132" s="36"/>
      <c r="D132" s="36"/>
      <c r="E132" s="5"/>
      <c r="F132" s="5"/>
      <c r="G132" s="5"/>
      <c r="H132" s="5"/>
      <c r="I132" s="1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36"/>
      <c r="C133" s="36"/>
      <c r="D133" s="36"/>
      <c r="E133" s="5"/>
      <c r="F133" s="5"/>
      <c r="G133" s="5"/>
      <c r="H133" s="5"/>
      <c r="I133" s="1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36"/>
      <c r="C134" s="36"/>
      <c r="D134" s="36"/>
      <c r="E134" s="5"/>
      <c r="F134" s="5"/>
      <c r="G134" s="5"/>
      <c r="H134" s="5"/>
      <c r="I134" s="1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36"/>
      <c r="C135" s="36"/>
      <c r="D135" s="36"/>
      <c r="E135" s="5"/>
      <c r="F135" s="5"/>
      <c r="G135" s="5"/>
      <c r="H135" s="5"/>
      <c r="I135" s="1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36"/>
      <c r="C136" s="36"/>
      <c r="D136" s="36"/>
      <c r="E136" s="5"/>
      <c r="F136" s="5"/>
      <c r="G136" s="5"/>
      <c r="H136" s="5"/>
      <c r="I136" s="1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36"/>
      <c r="C137" s="36"/>
      <c r="D137" s="36"/>
      <c r="E137" s="5"/>
      <c r="F137" s="5"/>
      <c r="G137" s="5"/>
      <c r="H137" s="5"/>
      <c r="I137" s="1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36"/>
      <c r="C138" s="36"/>
      <c r="D138" s="36"/>
      <c r="E138" s="5"/>
      <c r="F138" s="5"/>
      <c r="G138" s="5"/>
      <c r="H138" s="5"/>
      <c r="I138" s="1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36"/>
      <c r="C139" s="36"/>
      <c r="D139" s="36"/>
      <c r="E139" s="5"/>
      <c r="F139" s="5"/>
      <c r="G139" s="5"/>
      <c r="H139" s="5"/>
      <c r="I139" s="1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36"/>
      <c r="C140" s="36"/>
      <c r="D140" s="36"/>
      <c r="E140" s="5"/>
      <c r="F140" s="5"/>
      <c r="G140" s="5"/>
      <c r="H140" s="5"/>
      <c r="I140" s="1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36"/>
      <c r="C141" s="36"/>
      <c r="D141" s="36"/>
      <c r="E141" s="5"/>
      <c r="F141" s="5"/>
      <c r="G141" s="5"/>
      <c r="H141" s="5"/>
      <c r="I141" s="1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36"/>
      <c r="C142" s="36"/>
      <c r="D142" s="36"/>
      <c r="E142" s="5"/>
      <c r="F142" s="5"/>
      <c r="G142" s="5"/>
      <c r="H142" s="5"/>
      <c r="I142" s="1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36"/>
      <c r="C143" s="36"/>
      <c r="D143" s="36"/>
      <c r="E143" s="5"/>
      <c r="F143" s="5"/>
      <c r="G143" s="5"/>
      <c r="H143" s="5"/>
      <c r="I143" s="1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36"/>
      <c r="C144" s="36"/>
      <c r="D144" s="36"/>
      <c r="E144" s="5"/>
      <c r="F144" s="5"/>
      <c r="G144" s="5"/>
      <c r="H144" s="5"/>
      <c r="I144" s="1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36"/>
      <c r="C145" s="36"/>
      <c r="D145" s="36"/>
      <c r="E145" s="5"/>
      <c r="F145" s="5"/>
      <c r="G145" s="5"/>
      <c r="H145" s="5"/>
      <c r="I145" s="1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36"/>
      <c r="C146" s="36"/>
      <c r="D146" s="36"/>
      <c r="E146" s="5"/>
      <c r="F146" s="5"/>
      <c r="G146" s="5"/>
      <c r="H146" s="5"/>
      <c r="I146" s="1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36"/>
      <c r="C147" s="36"/>
      <c r="D147" s="36"/>
      <c r="E147" s="5"/>
      <c r="F147" s="5"/>
      <c r="G147" s="5"/>
      <c r="H147" s="5"/>
      <c r="I147" s="1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36"/>
      <c r="C148" s="36"/>
      <c r="D148" s="36"/>
      <c r="E148" s="5"/>
      <c r="F148" s="5"/>
      <c r="G148" s="5"/>
      <c r="H148" s="5"/>
      <c r="I148" s="1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36"/>
      <c r="C149" s="36"/>
      <c r="D149" s="36"/>
      <c r="E149" s="5"/>
      <c r="F149" s="5"/>
      <c r="G149" s="5"/>
      <c r="H149" s="5"/>
      <c r="I149" s="1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36"/>
      <c r="C150" s="36"/>
      <c r="D150" s="36"/>
      <c r="E150" s="5"/>
      <c r="F150" s="5"/>
      <c r="G150" s="5"/>
      <c r="H150" s="5"/>
      <c r="I150" s="1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36"/>
      <c r="C151" s="36"/>
      <c r="D151" s="36"/>
      <c r="E151" s="5"/>
      <c r="F151" s="5"/>
      <c r="G151" s="5"/>
      <c r="H151" s="5"/>
      <c r="I151" s="1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36"/>
      <c r="C152" s="36"/>
      <c r="D152" s="36"/>
      <c r="E152" s="5"/>
      <c r="F152" s="5"/>
      <c r="G152" s="5"/>
      <c r="H152" s="5"/>
      <c r="I152" s="1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36"/>
      <c r="C153" s="36"/>
      <c r="D153" s="36"/>
      <c r="E153" s="5"/>
      <c r="F153" s="5"/>
      <c r="G153" s="5"/>
      <c r="H153" s="5"/>
      <c r="I153" s="1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36"/>
      <c r="C154" s="36"/>
      <c r="D154" s="36"/>
      <c r="E154" s="5"/>
      <c r="F154" s="5"/>
      <c r="G154" s="5"/>
      <c r="H154" s="5"/>
      <c r="I154" s="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36"/>
      <c r="C155" s="36"/>
      <c r="D155" s="36"/>
      <c r="E155" s="5"/>
      <c r="F155" s="5"/>
      <c r="G155" s="5"/>
      <c r="H155" s="5"/>
      <c r="I155" s="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36"/>
      <c r="C156" s="36"/>
      <c r="D156" s="36"/>
      <c r="E156" s="5"/>
      <c r="F156" s="5"/>
      <c r="G156" s="5"/>
      <c r="H156" s="5"/>
      <c r="I156" s="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36"/>
      <c r="C157" s="36"/>
      <c r="D157" s="36"/>
      <c r="E157" s="5"/>
      <c r="F157" s="5"/>
      <c r="G157" s="5"/>
      <c r="H157" s="5"/>
      <c r="I157" s="1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36"/>
      <c r="C158" s="36"/>
      <c r="D158" s="36"/>
      <c r="E158" s="5"/>
      <c r="F158" s="5"/>
      <c r="G158" s="5"/>
      <c r="H158" s="5"/>
      <c r="I158" s="1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36"/>
      <c r="C159" s="36"/>
      <c r="D159" s="36"/>
      <c r="E159" s="5"/>
      <c r="F159" s="5"/>
      <c r="G159" s="5"/>
      <c r="H159" s="5"/>
      <c r="I159" s="1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36"/>
      <c r="C160" s="36"/>
      <c r="D160" s="36"/>
      <c r="E160" s="5"/>
      <c r="F160" s="5"/>
      <c r="G160" s="5"/>
      <c r="H160" s="5"/>
      <c r="I160" s="1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36"/>
      <c r="C161" s="36"/>
      <c r="D161" s="36"/>
      <c r="E161" s="5"/>
      <c r="F161" s="5"/>
      <c r="G161" s="5"/>
      <c r="H161" s="5"/>
      <c r="I161" s="1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36"/>
      <c r="C162" s="36"/>
      <c r="D162" s="36"/>
      <c r="E162" s="5"/>
      <c r="F162" s="5"/>
      <c r="G162" s="5"/>
      <c r="H162" s="5"/>
      <c r="I162" s="1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36"/>
      <c r="C163" s="36"/>
      <c r="D163" s="36"/>
      <c r="E163" s="5"/>
      <c r="F163" s="5"/>
      <c r="G163" s="5"/>
      <c r="H163" s="5"/>
      <c r="I163" s="1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36"/>
      <c r="C164" s="36"/>
      <c r="D164" s="36"/>
      <c r="E164" s="5"/>
      <c r="F164" s="5"/>
      <c r="G164" s="5"/>
      <c r="H164" s="5"/>
      <c r="I164" s="1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36"/>
      <c r="C165" s="36"/>
      <c r="D165" s="36"/>
      <c r="E165" s="5"/>
      <c r="F165" s="5"/>
      <c r="G165" s="5"/>
      <c r="H165" s="5"/>
      <c r="I165" s="1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36"/>
      <c r="C166" s="36"/>
      <c r="D166" s="36"/>
      <c r="E166" s="5"/>
      <c r="F166" s="5"/>
      <c r="G166" s="5"/>
      <c r="H166" s="5"/>
      <c r="I166" s="1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36"/>
      <c r="C167" s="36"/>
      <c r="D167" s="36"/>
      <c r="E167" s="5"/>
      <c r="F167" s="5"/>
      <c r="G167" s="5"/>
      <c r="H167" s="5"/>
      <c r="I167" s="1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36"/>
      <c r="C168" s="36"/>
      <c r="D168" s="36"/>
      <c r="E168" s="5"/>
      <c r="F168" s="5"/>
      <c r="G168" s="5"/>
      <c r="H168" s="5"/>
      <c r="I168" s="1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36"/>
      <c r="C169" s="36"/>
      <c r="D169" s="36"/>
      <c r="E169" s="5"/>
      <c r="F169" s="5"/>
      <c r="G169" s="5"/>
      <c r="H169" s="5"/>
      <c r="I169" s="1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36"/>
      <c r="C170" s="36"/>
      <c r="D170" s="36"/>
      <c r="E170" s="5"/>
      <c r="F170" s="5"/>
      <c r="G170" s="5"/>
      <c r="H170" s="5"/>
      <c r="I170" s="1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36"/>
      <c r="C171" s="36"/>
      <c r="D171" s="36"/>
      <c r="E171" s="5"/>
      <c r="F171" s="5"/>
      <c r="G171" s="5"/>
      <c r="H171" s="5"/>
      <c r="I171" s="1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36"/>
      <c r="C172" s="36"/>
      <c r="D172" s="36"/>
      <c r="E172" s="5"/>
      <c r="F172" s="5"/>
      <c r="G172" s="5"/>
      <c r="H172" s="5"/>
      <c r="I172" s="1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36"/>
      <c r="C173" s="36"/>
      <c r="D173" s="36"/>
      <c r="E173" s="5"/>
      <c r="F173" s="5"/>
      <c r="G173" s="5"/>
      <c r="H173" s="5"/>
      <c r="I173" s="1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36"/>
      <c r="C174" s="36"/>
      <c r="D174" s="36"/>
      <c r="E174" s="5"/>
      <c r="F174" s="5"/>
      <c r="G174" s="5"/>
      <c r="H174" s="5"/>
      <c r="I174" s="1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36"/>
      <c r="C175" s="36"/>
      <c r="D175" s="36"/>
      <c r="E175" s="5"/>
      <c r="F175" s="5"/>
      <c r="G175" s="5"/>
      <c r="H175" s="5"/>
      <c r="I175" s="1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36"/>
      <c r="C176" s="36"/>
      <c r="D176" s="36"/>
      <c r="E176" s="5"/>
      <c r="F176" s="5"/>
      <c r="G176" s="5"/>
      <c r="H176" s="5"/>
      <c r="I176" s="1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36"/>
      <c r="C177" s="36"/>
      <c r="D177" s="36"/>
      <c r="E177" s="5"/>
      <c r="F177" s="5"/>
      <c r="G177" s="5"/>
      <c r="H177" s="5"/>
      <c r="I177" s="1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36"/>
      <c r="C178" s="36"/>
      <c r="D178" s="36"/>
      <c r="E178" s="5"/>
      <c r="F178" s="5"/>
      <c r="G178" s="5"/>
      <c r="H178" s="5"/>
      <c r="I178" s="1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36"/>
      <c r="C179" s="36"/>
      <c r="D179" s="36"/>
      <c r="E179" s="5"/>
      <c r="F179" s="5"/>
      <c r="G179" s="5"/>
      <c r="H179" s="5"/>
      <c r="I179" s="1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36"/>
      <c r="C180" s="36"/>
      <c r="D180" s="36"/>
      <c r="E180" s="5"/>
      <c r="F180" s="5"/>
      <c r="G180" s="5"/>
      <c r="H180" s="5"/>
      <c r="I180" s="1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36"/>
      <c r="C181" s="36"/>
      <c r="D181" s="36"/>
      <c r="E181" s="5"/>
      <c r="F181" s="5"/>
      <c r="G181" s="5"/>
      <c r="H181" s="5"/>
      <c r="I181" s="1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36"/>
      <c r="C182" s="36"/>
      <c r="D182" s="36"/>
      <c r="E182" s="5"/>
      <c r="F182" s="5"/>
      <c r="G182" s="5"/>
      <c r="H182" s="5"/>
      <c r="I182" s="1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36"/>
      <c r="C183" s="36"/>
      <c r="D183" s="36"/>
      <c r="E183" s="5"/>
      <c r="F183" s="5"/>
      <c r="G183" s="5"/>
      <c r="H183" s="5"/>
      <c r="I183" s="1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36"/>
      <c r="C184" s="36"/>
      <c r="D184" s="36"/>
      <c r="E184" s="5"/>
      <c r="F184" s="5"/>
      <c r="G184" s="5"/>
      <c r="H184" s="5"/>
      <c r="I184" s="1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36"/>
      <c r="C185" s="36"/>
      <c r="D185" s="36"/>
      <c r="E185" s="5"/>
      <c r="F185" s="5"/>
      <c r="G185" s="5"/>
      <c r="H185" s="5"/>
      <c r="I185" s="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36"/>
      <c r="C186" s="36"/>
      <c r="D186" s="36"/>
      <c r="E186" s="5"/>
      <c r="F186" s="5"/>
      <c r="G186" s="5"/>
      <c r="H186" s="5"/>
      <c r="I186" s="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36"/>
      <c r="C187" s="36"/>
      <c r="D187" s="36"/>
      <c r="E187" s="5"/>
      <c r="F187" s="5"/>
      <c r="G187" s="5"/>
      <c r="H187" s="5"/>
      <c r="I187" s="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36"/>
      <c r="C188" s="36"/>
      <c r="D188" s="36"/>
      <c r="E188" s="5"/>
      <c r="F188" s="5"/>
      <c r="G188" s="5"/>
      <c r="H188" s="5"/>
      <c r="I188" s="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36"/>
      <c r="C189" s="36"/>
      <c r="D189" s="36"/>
      <c r="E189" s="5"/>
      <c r="F189" s="5"/>
      <c r="G189" s="5"/>
      <c r="H189" s="5"/>
      <c r="I189" s="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36"/>
      <c r="C190" s="36"/>
      <c r="D190" s="36"/>
      <c r="E190" s="5"/>
      <c r="F190" s="5"/>
      <c r="G190" s="5"/>
      <c r="H190" s="5"/>
      <c r="I190" s="1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36"/>
      <c r="C191" s="36"/>
      <c r="D191" s="36"/>
      <c r="E191" s="5"/>
      <c r="F191" s="5"/>
      <c r="G191" s="5"/>
      <c r="H191" s="5"/>
      <c r="I191" s="1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36"/>
      <c r="C192" s="36"/>
      <c r="D192" s="36"/>
      <c r="E192" s="5"/>
      <c r="F192" s="5"/>
      <c r="G192" s="5"/>
      <c r="H192" s="5"/>
      <c r="I192" s="1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36"/>
      <c r="C193" s="36"/>
      <c r="D193" s="36"/>
      <c r="E193" s="5"/>
      <c r="F193" s="5"/>
      <c r="G193" s="5"/>
      <c r="H193" s="5"/>
      <c r="I193" s="1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36"/>
      <c r="C194" s="36"/>
      <c r="D194" s="36"/>
      <c r="E194" s="5"/>
      <c r="F194" s="5"/>
      <c r="G194" s="5"/>
      <c r="H194" s="5"/>
      <c r="I194" s="1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36"/>
      <c r="C195" s="36"/>
      <c r="D195" s="36"/>
      <c r="E195" s="5"/>
      <c r="F195" s="5"/>
      <c r="G195" s="5"/>
      <c r="H195" s="5"/>
      <c r="I195" s="1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36"/>
      <c r="C196" s="36"/>
      <c r="D196" s="36"/>
      <c r="E196" s="5"/>
      <c r="F196" s="5"/>
      <c r="G196" s="5"/>
      <c r="H196" s="5"/>
      <c r="I196" s="1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36"/>
      <c r="C197" s="36"/>
      <c r="D197" s="36"/>
      <c r="E197" s="5"/>
      <c r="F197" s="5"/>
      <c r="G197" s="5"/>
      <c r="H197" s="1"/>
      <c r="I197" s="1"/>
      <c r="J197" s="1"/>
      <c r="K197" s="1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36"/>
      <c r="C198" s="36"/>
      <c r="D198" s="36"/>
      <c r="E198" s="5"/>
      <c r="F198" s="5"/>
      <c r="G198" s="5"/>
      <c r="H198" s="1"/>
      <c r="I198" s="1"/>
      <c r="J198" s="1"/>
      <c r="K198" s="1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36"/>
      <c r="C199" s="36"/>
      <c r="D199" s="36"/>
      <c r="E199" s="5"/>
      <c r="F199" s="5"/>
      <c r="G199" s="5"/>
      <c r="H199" s="1"/>
      <c r="I199" s="1"/>
      <c r="J199" s="1"/>
      <c r="K199" s="1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36"/>
      <c r="C200" s="36"/>
      <c r="D200" s="36"/>
      <c r="E200" s="5"/>
      <c r="F200" s="5"/>
      <c r="G200" s="5"/>
      <c r="H200" s="1"/>
      <c r="I200" s="1"/>
      <c r="J200" s="1"/>
      <c r="K200" s="1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36"/>
      <c r="C201" s="36"/>
      <c r="D201" s="36"/>
      <c r="E201" s="5"/>
      <c r="F201" s="5"/>
      <c r="G201" s="5"/>
      <c r="H201" s="1"/>
      <c r="I201" s="1"/>
      <c r="J201" s="1"/>
      <c r="K201" s="1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36"/>
      <c r="C202" s="36"/>
      <c r="D202" s="36"/>
      <c r="E202" s="5"/>
      <c r="F202" s="5"/>
      <c r="G202" s="5"/>
      <c r="H202" s="1"/>
      <c r="I202" s="1"/>
      <c r="J202" s="1"/>
      <c r="K202" s="1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36"/>
      <c r="C203" s="36"/>
      <c r="D203" s="36"/>
      <c r="E203" s="5"/>
      <c r="F203" s="5"/>
      <c r="G203" s="5"/>
      <c r="H203" s="1"/>
      <c r="I203" s="1"/>
      <c r="J203" s="1"/>
      <c r="K203" s="1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36"/>
      <c r="C204" s="36"/>
      <c r="D204" s="36"/>
      <c r="E204" s="5"/>
      <c r="F204" s="5"/>
      <c r="G204" s="5"/>
      <c r="H204" s="1"/>
      <c r="I204" s="1"/>
      <c r="J204" s="1"/>
      <c r="K204" s="1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36"/>
      <c r="C205" s="36"/>
      <c r="D205" s="36"/>
      <c r="E205" s="5"/>
      <c r="F205" s="5"/>
      <c r="G205" s="5"/>
      <c r="H205" s="1"/>
      <c r="I205" s="1"/>
      <c r="J205" s="1"/>
      <c r="K205" s="1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36"/>
      <c r="C206" s="36"/>
      <c r="D206" s="36"/>
      <c r="E206" s="5"/>
      <c r="F206" s="5"/>
      <c r="G206" s="5"/>
      <c r="H206" s="1"/>
      <c r="I206" s="1"/>
      <c r="J206" s="1"/>
      <c r="K206" s="1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36"/>
      <c r="C207" s="36"/>
      <c r="D207" s="36"/>
      <c r="E207" s="5"/>
      <c r="F207" s="5"/>
      <c r="G207" s="5"/>
      <c r="H207" s="1"/>
      <c r="I207" s="1"/>
      <c r="J207" s="1"/>
      <c r="K207" s="1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36"/>
      <c r="C208" s="36"/>
      <c r="D208" s="36"/>
      <c r="E208" s="5"/>
      <c r="F208" s="5"/>
      <c r="G208" s="5"/>
      <c r="H208" s="1"/>
      <c r="I208" s="1"/>
      <c r="J208" s="1"/>
      <c r="K208" s="1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36"/>
      <c r="C209" s="36"/>
      <c r="D209" s="36"/>
      <c r="E209" s="5"/>
      <c r="F209" s="5"/>
      <c r="G209" s="5"/>
      <c r="H209" s="1"/>
      <c r="I209" s="1"/>
      <c r="J209" s="1"/>
      <c r="K209" s="1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36"/>
      <c r="C210" s="36"/>
      <c r="D210" s="36"/>
      <c r="E210" s="5"/>
      <c r="F210" s="5"/>
      <c r="G210" s="5"/>
      <c r="H210" s="1"/>
      <c r="I210" s="1"/>
      <c r="J210" s="1"/>
      <c r="K210" s="1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36"/>
      <c r="C211" s="36"/>
      <c r="D211" s="36"/>
      <c r="E211" s="5"/>
      <c r="F211" s="5"/>
      <c r="G211" s="5"/>
      <c r="H211" s="1"/>
      <c r="I211" s="1"/>
      <c r="J211" s="1"/>
      <c r="K211" s="1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36"/>
      <c r="C212" s="36"/>
      <c r="D212" s="36"/>
      <c r="E212" s="5"/>
      <c r="F212" s="5"/>
      <c r="G212" s="5"/>
      <c r="H212" s="1"/>
      <c r="I212" s="1"/>
      <c r="J212" s="1"/>
      <c r="K212" s="1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36"/>
      <c r="C213" s="36"/>
      <c r="D213" s="36"/>
      <c r="E213" s="5"/>
      <c r="F213" s="5"/>
      <c r="G213" s="5"/>
      <c r="H213" s="1"/>
      <c r="I213" s="1"/>
      <c r="J213" s="1"/>
      <c r="K213" s="1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36"/>
      <c r="C214" s="36"/>
      <c r="D214" s="36"/>
      <c r="E214" s="5"/>
      <c r="F214" s="5"/>
      <c r="G214" s="5"/>
      <c r="H214" s="1"/>
      <c r="I214" s="1"/>
      <c r="J214" s="1"/>
      <c r="K214" s="1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36"/>
      <c r="C215" s="36"/>
      <c r="D215" s="36"/>
      <c r="E215" s="5"/>
      <c r="F215" s="5"/>
      <c r="G215" s="5"/>
      <c r="H215" s="1"/>
      <c r="I215" s="1"/>
      <c r="J215" s="1"/>
      <c r="K215" s="1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36"/>
      <c r="C216" s="36"/>
      <c r="D216" s="36"/>
      <c r="E216" s="5"/>
      <c r="F216" s="5"/>
      <c r="G216" s="5"/>
      <c r="H216" s="1"/>
      <c r="I216" s="1"/>
      <c r="J216" s="1"/>
      <c r="K216" s="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36"/>
      <c r="C217" s="36"/>
      <c r="D217" s="36"/>
      <c r="E217" s="5"/>
      <c r="F217" s="5"/>
      <c r="G217" s="5"/>
      <c r="H217" s="1"/>
      <c r="I217" s="1"/>
      <c r="J217" s="1"/>
      <c r="K217" s="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36"/>
      <c r="C218" s="36"/>
      <c r="D218" s="36"/>
      <c r="E218" s="5"/>
      <c r="F218" s="5"/>
      <c r="G218" s="5"/>
      <c r="H218" s="1"/>
      <c r="I218" s="1"/>
      <c r="J218" s="1"/>
      <c r="K218" s="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36"/>
      <c r="C219" s="36"/>
      <c r="D219" s="36"/>
      <c r="E219" s="5"/>
      <c r="F219" s="5"/>
      <c r="G219" s="5"/>
      <c r="H219" s="1"/>
      <c r="I219" s="1"/>
      <c r="J219" s="1"/>
      <c r="K219" s="1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36"/>
      <c r="C220" s="36"/>
      <c r="D220" s="36"/>
      <c r="E220" s="5"/>
      <c r="F220" s="5"/>
      <c r="G220" s="5"/>
      <c r="H220" s="1"/>
      <c r="I220" s="1"/>
      <c r="J220" s="1"/>
      <c r="K220" s="1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1"/>
      <c r="B221" s="1"/>
      <c r="C221" s="1"/>
      <c r="D221" s="1"/>
      <c r="E221" s="5"/>
      <c r="F221" s="5"/>
      <c r="G221" s="5"/>
      <c r="H221" s="1"/>
      <c r="I221" s="1"/>
      <c r="J221" s="1"/>
      <c r="K221" s="1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1"/>
      <c r="B222" s="1"/>
      <c r="C222" s="1"/>
      <c r="D222" s="1"/>
      <c r="E222" s="5"/>
      <c r="F222" s="5"/>
      <c r="G222" s="5"/>
      <c r="H222" s="1"/>
      <c r="I222" s="1"/>
      <c r="J222" s="1"/>
      <c r="K222" s="1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D1"/>
    <mergeCell ref="A2:A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9"/>
  <sheetViews>
    <sheetView workbookViewId="0"/>
  </sheetViews>
  <sheetFormatPr defaultColWidth="12.6328125" defaultRowHeight="15" customHeight="1" x14ac:dyDescent="0.25"/>
  <cols>
    <col min="1" max="1" width="20.453125" customWidth="1"/>
    <col min="5" max="5" width="53.453125" customWidth="1"/>
    <col min="8" max="8" width="25" customWidth="1"/>
    <col min="12" max="12" width="26" customWidth="1"/>
    <col min="13" max="13" width="28.26953125" customWidth="1"/>
  </cols>
  <sheetData>
    <row r="1" spans="1:13" ht="13" x14ac:dyDescent="0.3">
      <c r="A1" s="109" t="s">
        <v>25</v>
      </c>
      <c r="B1" s="113" t="s">
        <v>26</v>
      </c>
      <c r="C1" s="114"/>
      <c r="D1" s="114"/>
      <c r="E1" s="112"/>
      <c r="H1" s="109" t="s">
        <v>27</v>
      </c>
      <c r="I1" s="113" t="s">
        <v>26</v>
      </c>
      <c r="J1" s="114"/>
      <c r="K1" s="114"/>
      <c r="L1" s="114"/>
      <c r="M1" s="112"/>
    </row>
    <row r="2" spans="1:13" ht="13" x14ac:dyDescent="0.3">
      <c r="A2" s="110"/>
      <c r="B2" s="45" t="s">
        <v>5</v>
      </c>
      <c r="C2" s="45" t="s">
        <v>6</v>
      </c>
      <c r="D2" s="46" t="s">
        <v>28</v>
      </c>
      <c r="E2" s="45" t="s">
        <v>29</v>
      </c>
      <c r="H2" s="110"/>
      <c r="I2" s="47" t="s">
        <v>5</v>
      </c>
      <c r="J2" s="47" t="s">
        <v>6</v>
      </c>
      <c r="K2" s="48" t="s">
        <v>28</v>
      </c>
      <c r="L2" s="115" t="s">
        <v>29</v>
      </c>
      <c r="M2" s="112"/>
    </row>
    <row r="3" spans="1:13" ht="12.5" x14ac:dyDescent="0.25">
      <c r="A3" s="49" t="s">
        <v>30</v>
      </c>
      <c r="B3" s="50">
        <f>('Company B'!C16+'Company A'!C16-'Company A'!B16-'Company B'!B16)/('Company B'!B16+'Company A'!B16)</f>
        <v>5.4564139276827434E-2</v>
      </c>
      <c r="C3" s="50">
        <f>('Company B'!D16+'Company A'!D16-'Company A'!C16-'Company B'!C16)/('Company B'!C16+'Company A'!C16)</f>
        <v>2.2462498631336869E-2</v>
      </c>
      <c r="D3" s="51">
        <f t="shared" ref="D3:D4" si="0">AVERAGE(B3:C3)</f>
        <v>3.8513318954082151E-2</v>
      </c>
      <c r="E3" s="49"/>
      <c r="H3" s="49" t="s">
        <v>31</v>
      </c>
      <c r="I3" s="50">
        <f>('Company B'!C16+'Company A'!C16-'Company A'!B16-'Company B'!B16)/('Company B'!B16+'Company A'!B16)</f>
        <v>5.4564139276827434E-2</v>
      </c>
      <c r="J3" s="50">
        <f>('Company B'!D16+'Company A'!D16-'Company A'!C16-'Company B'!C16)/('Company B'!C16+'Company A'!C16)</f>
        <v>2.2462498631336869E-2</v>
      </c>
      <c r="K3" s="51">
        <f t="shared" ref="K3:K5" si="1">AVERAGE(I3:J3)</f>
        <v>3.8513318954082151E-2</v>
      </c>
      <c r="L3" s="111"/>
      <c r="M3" s="112"/>
    </row>
    <row r="4" spans="1:13" ht="12.5" x14ac:dyDescent="0.25">
      <c r="A4" s="49" t="s">
        <v>32</v>
      </c>
      <c r="B4" s="50">
        <f>('Company B'!C20+'Company A'!C20-'Company B'!B20-'Company A'!B20)/('Company B'!B20+'Company A'!B20)</f>
        <v>2.1605640209233567E-2</v>
      </c>
      <c r="C4" s="50">
        <f>('Company B'!D20+'Company A'!D20-'Company B'!C20-'Company A'!C20)/('Company B'!C20+'Company A'!C20)</f>
        <v>1.9070940932027308E-2</v>
      </c>
      <c r="D4" s="51">
        <f t="shared" si="0"/>
        <v>2.0338290570630437E-2</v>
      </c>
      <c r="E4" s="49" t="s">
        <v>33</v>
      </c>
      <c r="H4" s="49" t="s">
        <v>34</v>
      </c>
      <c r="I4" s="50">
        <f>('Company B'!C11+'Company A'!C11-'Company B'!B11-'Company A'!B11)/('Company B'!B11+'Company A'!B11)</f>
        <v>0.15787028852028995</v>
      </c>
      <c r="J4" s="50">
        <f>('Company B'!D11+'Company A'!D11-'Company B'!C11-'Company A'!C11)/('Company B'!C11+'Company A'!C11)</f>
        <v>4.506814311795565E-2</v>
      </c>
      <c r="K4" s="51">
        <f t="shared" si="1"/>
        <v>0.1014692158191228</v>
      </c>
      <c r="L4" s="111"/>
      <c r="M4" s="112"/>
    </row>
    <row r="5" spans="1:13" ht="12.5" x14ac:dyDescent="0.25">
      <c r="H5" s="49" t="s">
        <v>21</v>
      </c>
      <c r="I5" s="52">
        <f>('Company B'!C14+'Company A'!C14)/('Company A'!C20+'Company B'!C20)*1000/12</f>
        <v>55.753438211140796</v>
      </c>
      <c r="J5" s="52">
        <f>('Company B'!D14+'Company A'!D14)/('Company A'!D20+'Company B'!D20)*1000/12</f>
        <v>57.367897279060173</v>
      </c>
      <c r="K5" s="53">
        <f t="shared" si="1"/>
        <v>56.560667745100488</v>
      </c>
      <c r="L5" s="111"/>
      <c r="M5" s="112"/>
    </row>
    <row r="6" spans="1:13" ht="12.5" x14ac:dyDescent="0.25">
      <c r="H6" s="54" t="s">
        <v>35</v>
      </c>
    </row>
    <row r="7" spans="1:13" ht="13" x14ac:dyDescent="0.3">
      <c r="A7" s="109" t="s">
        <v>25</v>
      </c>
      <c r="B7" s="113" t="s">
        <v>36</v>
      </c>
      <c r="C7" s="114"/>
      <c r="D7" s="114"/>
      <c r="E7" s="112"/>
    </row>
    <row r="8" spans="1:13" ht="13" x14ac:dyDescent="0.3">
      <c r="A8" s="110"/>
      <c r="B8" s="45" t="s">
        <v>5</v>
      </c>
      <c r="C8" s="45" t="s">
        <v>6</v>
      </c>
      <c r="D8" s="46" t="s">
        <v>28</v>
      </c>
      <c r="E8" s="45" t="s">
        <v>29</v>
      </c>
    </row>
    <row r="9" spans="1:13" ht="12.5" x14ac:dyDescent="0.25">
      <c r="A9" s="49" t="s">
        <v>30</v>
      </c>
      <c r="B9" s="50">
        <f>('Company A'!C16+'Company A'!C16-'Company A'!B16-'Company A'!B16)/('Company A'!B16+'Company A'!B16)</f>
        <v>8.1527468665807665E-2</v>
      </c>
      <c r="C9" s="50">
        <f>('Company A'!D16+'Company A'!D16-'Company A'!C16-'Company A'!C16)/('Company A'!C16+'Company A'!C16)</f>
        <v>4.7330228528105707E-2</v>
      </c>
      <c r="D9" s="51">
        <f t="shared" ref="D9:D10" si="2">AVERAGE(B9:C9)</f>
        <v>6.4428848596956689E-2</v>
      </c>
      <c r="E9" s="49"/>
    </row>
    <row r="10" spans="1:13" ht="13" x14ac:dyDescent="0.3">
      <c r="A10" s="49" t="s">
        <v>32</v>
      </c>
      <c r="B10" s="50">
        <f>('Company A'!C20+'Company A'!C20-'Company A'!B20-'Company A'!B20)/('Company A'!B20+'Company A'!B20)</f>
        <v>2.6927784577723379E-2</v>
      </c>
      <c r="C10" s="50">
        <f>('Company A'!D20+'Company A'!D20-'Company A'!C20-'Company A'!C20)/('Company A'!C20+'Company A'!C20)</f>
        <v>5.1013110846245532E-2</v>
      </c>
      <c r="D10" s="51">
        <f t="shared" si="2"/>
        <v>3.8970447711984456E-2</v>
      </c>
      <c r="E10" s="49"/>
      <c r="H10" s="109" t="s">
        <v>37</v>
      </c>
      <c r="I10" s="113" t="s">
        <v>36</v>
      </c>
      <c r="J10" s="114"/>
      <c r="K10" s="114"/>
      <c r="L10" s="114"/>
      <c r="M10" s="112"/>
    </row>
    <row r="11" spans="1:13" ht="13" x14ac:dyDescent="0.3">
      <c r="H11" s="110"/>
      <c r="I11" s="47" t="s">
        <v>4</v>
      </c>
      <c r="J11" s="47" t="s">
        <v>5</v>
      </c>
      <c r="K11" s="47" t="s">
        <v>6</v>
      </c>
      <c r="L11" s="48" t="s">
        <v>28</v>
      </c>
      <c r="M11" s="47" t="s">
        <v>29</v>
      </c>
    </row>
    <row r="12" spans="1:13" ht="12.5" x14ac:dyDescent="0.25">
      <c r="H12" s="49" t="s">
        <v>18</v>
      </c>
      <c r="I12" s="50">
        <f>'Company A'!B14/('Company A'!B14+'Company B'!B14)</f>
        <v>0.33973661954814549</v>
      </c>
      <c r="J12" s="50">
        <f>'Company A'!C14/('Company A'!C14+'Company B'!C14)</f>
        <v>0.37433451641526178</v>
      </c>
      <c r="K12" s="50">
        <f>'Company A'!D14/('Company A'!D14+'Company B'!D14)</f>
        <v>0.39031097947958537</v>
      </c>
      <c r="L12" s="51">
        <f t="shared" ref="L12:L13" si="3">AVERAGE(I12:K12)</f>
        <v>0.36812737181433092</v>
      </c>
      <c r="M12" s="49"/>
    </row>
    <row r="13" spans="1:13" ht="25.5" x14ac:dyDescent="0.3">
      <c r="A13" s="55"/>
      <c r="B13" s="45" t="s">
        <v>5</v>
      </c>
      <c r="C13" s="45" t="s">
        <v>6</v>
      </c>
      <c r="D13" s="46" t="s">
        <v>28</v>
      </c>
      <c r="E13" s="45" t="s">
        <v>29</v>
      </c>
      <c r="H13" s="49" t="s">
        <v>21</v>
      </c>
      <c r="I13" s="52">
        <f>('Company A'!B14/'Company A'!B20)*1000/12</f>
        <v>57.36434108527132</v>
      </c>
      <c r="J13" s="52">
        <f>('Company A'!C14/'Company A'!C20)*1000/12</f>
        <v>67.044100119189508</v>
      </c>
      <c r="K13" s="52">
        <f>('Company A'!D14/'Company A'!D20)*1000/12</f>
        <v>69.743706055794959</v>
      </c>
      <c r="L13" s="53">
        <f t="shared" si="3"/>
        <v>64.717382420085258</v>
      </c>
      <c r="M13" s="56" t="s">
        <v>38</v>
      </c>
    </row>
    <row r="14" spans="1:13" ht="12.5" x14ac:dyDescent="0.25">
      <c r="A14" s="49" t="s">
        <v>30</v>
      </c>
      <c r="B14" s="50">
        <f>('Company B'!C16+'Company B'!C16-'Company B'!B16-'Company B'!B16)/('Company B'!B16+'Company B'!B16)</f>
        <v>2.8358701715638882E-2</v>
      </c>
      <c r="C14" s="50">
        <f>('Company B'!D16+'Company B'!D16-'Company B'!C16-'Company B'!C16)/('Company B'!C16+'Company B'!C16)</f>
        <v>-2.9558286283627509E-3</v>
      </c>
      <c r="D14" s="51">
        <f t="shared" ref="D14:D15" si="4">AVERAGE(B14:C14)</f>
        <v>1.2701436543638065E-2</v>
      </c>
      <c r="E14" s="49" t="s">
        <v>39</v>
      </c>
    </row>
    <row r="15" spans="1:13" ht="12.5" x14ac:dyDescent="0.25">
      <c r="A15" s="49" t="s">
        <v>32</v>
      </c>
      <c r="B15" s="50">
        <f>('Company B'!C20+'Company B'!C20-'Company B'!B20-'Company B'!B20)/('Company B'!B20+'Company B'!B20)</f>
        <v>1.9218097957390733E-2</v>
      </c>
      <c r="C15" s="50">
        <f>('Company B'!D20+'Company B'!D20-'Company B'!C20-'Company B'!C20)/('Company B'!C20+'Company B'!C20)</f>
        <v>4.6331214308802928E-3</v>
      </c>
      <c r="D15" s="51">
        <f t="shared" si="4"/>
        <v>1.1925609694135513E-2</v>
      </c>
      <c r="E15" s="49"/>
    </row>
    <row r="16" spans="1:13" ht="13" x14ac:dyDescent="0.3">
      <c r="H16" s="109" t="s">
        <v>37</v>
      </c>
      <c r="I16" s="113" t="s">
        <v>36</v>
      </c>
      <c r="J16" s="114"/>
      <c r="K16" s="114"/>
      <c r="L16" s="114"/>
      <c r="M16" s="112"/>
    </row>
    <row r="17" spans="8:13" ht="13" x14ac:dyDescent="0.3">
      <c r="H17" s="110"/>
      <c r="I17" s="47" t="s">
        <v>4</v>
      </c>
      <c r="J17" s="47" t="s">
        <v>5</v>
      </c>
      <c r="K17" s="47" t="s">
        <v>6</v>
      </c>
      <c r="L17" s="48" t="s">
        <v>28</v>
      </c>
      <c r="M17" s="47" t="s">
        <v>29</v>
      </c>
    </row>
    <row r="18" spans="8:13" ht="29.25" customHeight="1" x14ac:dyDescent="0.25">
      <c r="H18" s="49" t="s">
        <v>18</v>
      </c>
      <c r="I18" s="50">
        <f>'Company B'!B14/('Company B'!B14+'Company A'!B14)</f>
        <v>0.66026338045185451</v>
      </c>
      <c r="J18" s="50">
        <f>'Company B'!C14/('Company B'!C14+'Company A'!C14)</f>
        <v>0.62566548358473828</v>
      </c>
      <c r="K18" s="50">
        <f>'Company B'!D14/('Company B'!D14+'Company A'!D14)</f>
        <v>0.60968902052041463</v>
      </c>
      <c r="L18" s="51">
        <f t="shared" ref="L18:L19" si="5">AVERAGE(I18:K18)</f>
        <v>0.63187262818566914</v>
      </c>
      <c r="M18" s="57" t="s">
        <v>40</v>
      </c>
    </row>
    <row r="19" spans="8:13" ht="25" x14ac:dyDescent="0.25">
      <c r="H19" s="49" t="s">
        <v>21</v>
      </c>
      <c r="I19" s="52">
        <f>('Company B'!B14/'Company B'!B20)*1000/12</f>
        <v>50.012812065304928</v>
      </c>
      <c r="J19" s="52">
        <f>('Company B'!C14/'Company B'!C20)*1000/12</f>
        <v>50.650073627123511</v>
      </c>
      <c r="K19" s="52">
        <f>('Company B'!D14/'Company B'!D20)*1000/12</f>
        <v>51.515801515801513</v>
      </c>
      <c r="L19" s="53">
        <f t="shared" si="5"/>
        <v>50.726229069409982</v>
      </c>
      <c r="M19" s="56" t="s">
        <v>41</v>
      </c>
    </row>
  </sheetData>
  <mergeCells count="14">
    <mergeCell ref="A1:A2"/>
    <mergeCell ref="B1:E1"/>
    <mergeCell ref="A7:A8"/>
    <mergeCell ref="B7:E7"/>
    <mergeCell ref="I10:M10"/>
    <mergeCell ref="L2:M2"/>
    <mergeCell ref="I1:M1"/>
    <mergeCell ref="L5:M5"/>
    <mergeCell ref="H1:H2"/>
    <mergeCell ref="H10:H11"/>
    <mergeCell ref="H16:H17"/>
    <mergeCell ref="L3:M3"/>
    <mergeCell ref="L4:M4"/>
    <mergeCell ref="I16:M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showGridLines="0" workbookViewId="0"/>
  </sheetViews>
  <sheetFormatPr defaultColWidth="12.6328125" defaultRowHeight="15" customHeight="1" x14ac:dyDescent="0.25"/>
  <cols>
    <col min="1" max="1" width="25.453125" customWidth="1"/>
    <col min="2" max="2" width="136.26953125" customWidth="1"/>
    <col min="3" max="26" width="14.453125" customWidth="1"/>
  </cols>
  <sheetData>
    <row r="1" spans="1:2" ht="15" customHeight="1" x14ac:dyDescent="0.6">
      <c r="A1" s="116" t="s">
        <v>42</v>
      </c>
      <c r="B1" s="117"/>
    </row>
    <row r="2" spans="1:2" ht="15" customHeight="1" x14ac:dyDescent="0.25">
      <c r="A2" s="58"/>
      <c r="B2" s="58"/>
    </row>
    <row r="3" spans="1:2" ht="15" customHeight="1" x14ac:dyDescent="0.25">
      <c r="A3" s="118" t="s">
        <v>43</v>
      </c>
      <c r="B3" s="119"/>
    </row>
    <row r="4" spans="1:2" ht="15" customHeight="1" x14ac:dyDescent="0.25">
      <c r="A4" s="120" t="s">
        <v>44</v>
      </c>
      <c r="B4" s="119"/>
    </row>
    <row r="5" spans="1:2" ht="15" customHeight="1" x14ac:dyDescent="0.25">
      <c r="A5" s="59"/>
      <c r="B5" s="58"/>
    </row>
    <row r="6" spans="1:2" ht="15" customHeight="1" x14ac:dyDescent="0.25">
      <c r="A6" s="118" t="s">
        <v>45</v>
      </c>
      <c r="B6" s="119"/>
    </row>
    <row r="7" spans="1:2" ht="15" customHeight="1" x14ac:dyDescent="0.25">
      <c r="A7" s="121" t="s">
        <v>46</v>
      </c>
      <c r="B7" s="119"/>
    </row>
    <row r="8" spans="1:2" ht="15" customHeight="1" x14ac:dyDescent="0.25">
      <c r="A8" s="121" t="s">
        <v>47</v>
      </c>
      <c r="B8" s="119"/>
    </row>
    <row r="9" spans="1:2" ht="15" customHeight="1" x14ac:dyDescent="0.25">
      <c r="A9" s="121" t="s">
        <v>48</v>
      </c>
      <c r="B9" s="119"/>
    </row>
    <row r="10" spans="1:2" ht="15" customHeight="1" x14ac:dyDescent="0.25">
      <c r="A10" s="121" t="s">
        <v>49</v>
      </c>
      <c r="B10" s="119"/>
    </row>
    <row r="11" spans="1:2" ht="15" customHeight="1" x14ac:dyDescent="0.25">
      <c r="A11" s="121" t="s">
        <v>50</v>
      </c>
      <c r="B11" s="119"/>
    </row>
    <row r="12" spans="1:2" ht="15" customHeight="1" x14ac:dyDescent="0.25">
      <c r="A12" s="58"/>
      <c r="B12" s="58"/>
    </row>
    <row r="13" spans="1:2" ht="15" customHeight="1" x14ac:dyDescent="0.25">
      <c r="A13" s="59"/>
      <c r="B13" s="58"/>
    </row>
    <row r="14" spans="1:2" ht="15" customHeight="1" x14ac:dyDescent="0.25">
      <c r="A14" s="122" t="s">
        <v>46</v>
      </c>
      <c r="B14" s="119"/>
    </row>
    <row r="15" spans="1:2" ht="15" customHeight="1" x14ac:dyDescent="0.35">
      <c r="A15" s="60" t="s">
        <v>51</v>
      </c>
      <c r="B15" s="61" t="s">
        <v>52</v>
      </c>
    </row>
    <row r="16" spans="1:2" ht="15" customHeight="1" x14ac:dyDescent="0.35">
      <c r="A16" s="60" t="s">
        <v>53</v>
      </c>
      <c r="B16" s="60" t="s">
        <v>54</v>
      </c>
    </row>
    <row r="17" spans="1:2" ht="15" customHeight="1" x14ac:dyDescent="0.35">
      <c r="A17" s="60" t="s">
        <v>55</v>
      </c>
      <c r="B17" s="60" t="s">
        <v>56</v>
      </c>
    </row>
    <row r="18" spans="1:2" ht="15" customHeight="1" x14ac:dyDescent="0.25">
      <c r="A18" s="58"/>
      <c r="B18" s="58"/>
    </row>
    <row r="19" spans="1:2" ht="15" customHeight="1" x14ac:dyDescent="0.25">
      <c r="A19" s="58"/>
      <c r="B19" s="58"/>
    </row>
    <row r="20" spans="1:2" ht="15" customHeight="1" x14ac:dyDescent="0.25">
      <c r="A20" s="122" t="s">
        <v>47</v>
      </c>
      <c r="B20" s="119"/>
    </row>
    <row r="21" spans="1:2" ht="15" customHeight="1" x14ac:dyDescent="0.25">
      <c r="A21" s="121" t="s">
        <v>57</v>
      </c>
      <c r="B21" s="119"/>
    </row>
    <row r="22" spans="1:2" ht="15.75" customHeight="1" x14ac:dyDescent="0.25">
      <c r="A22" s="121" t="s">
        <v>58</v>
      </c>
      <c r="B22" s="119"/>
    </row>
    <row r="23" spans="1:2" ht="15.75" customHeight="1" x14ac:dyDescent="0.25">
      <c r="A23" s="58"/>
      <c r="B23" s="58"/>
    </row>
    <row r="24" spans="1:2" ht="15.75" customHeight="1" x14ac:dyDescent="0.25">
      <c r="A24" s="58"/>
      <c r="B24" s="58"/>
    </row>
    <row r="25" spans="1:2" ht="15.75" customHeight="1" x14ac:dyDescent="0.25">
      <c r="A25" s="122" t="s">
        <v>59</v>
      </c>
      <c r="B25" s="119"/>
    </row>
    <row r="26" spans="1:2" ht="15.75" customHeight="1" x14ac:dyDescent="0.25">
      <c r="A26" s="58"/>
      <c r="B26" s="58"/>
    </row>
    <row r="27" spans="1:2" ht="15.75" customHeight="1" x14ac:dyDescent="0.25">
      <c r="A27" s="58"/>
      <c r="B27" s="58"/>
    </row>
    <row r="28" spans="1:2" ht="15.75" customHeight="1" x14ac:dyDescent="0.25">
      <c r="A28" s="122" t="s">
        <v>49</v>
      </c>
      <c r="B28" s="119"/>
    </row>
    <row r="29" spans="1:2" ht="15.75" customHeight="1" x14ac:dyDescent="0.25">
      <c r="A29" s="121" t="s">
        <v>60</v>
      </c>
      <c r="B29" s="119"/>
    </row>
    <row r="30" spans="1:2" ht="15.75" customHeight="1" x14ac:dyDescent="0.25">
      <c r="A30" s="121" t="s">
        <v>61</v>
      </c>
      <c r="B30" s="119"/>
    </row>
    <row r="31" spans="1:2" ht="15.75" customHeight="1" x14ac:dyDescent="0.25">
      <c r="A31" s="59"/>
      <c r="B31" s="59"/>
    </row>
    <row r="32" spans="1:2" ht="15.75" customHeight="1" x14ac:dyDescent="0.25">
      <c r="A32" s="58"/>
      <c r="B32" s="58"/>
    </row>
    <row r="33" spans="1:2" ht="15.75" customHeight="1" x14ac:dyDescent="0.25">
      <c r="A33" s="122" t="s">
        <v>50</v>
      </c>
      <c r="B33" s="119"/>
    </row>
    <row r="34" spans="1:2" ht="15.75" customHeight="1" x14ac:dyDescent="0.25">
      <c r="A34" s="121" t="s">
        <v>62</v>
      </c>
      <c r="B34" s="119"/>
    </row>
    <row r="35" spans="1:2" ht="15.75" customHeight="1" x14ac:dyDescent="0.25">
      <c r="A35" s="123"/>
      <c r="B35" s="119"/>
    </row>
    <row r="36" spans="1:2" ht="15.75" customHeight="1" x14ac:dyDescent="0.25">
      <c r="A36" s="58"/>
      <c r="B36" s="58"/>
    </row>
    <row r="37" spans="1:2" ht="15.75" customHeight="1" x14ac:dyDescent="0.25">
      <c r="A37" s="58"/>
      <c r="B37" s="58"/>
    </row>
    <row r="38" spans="1:2" ht="15.75" customHeight="1" x14ac:dyDescent="0.25">
      <c r="A38" s="58"/>
      <c r="B38" s="58"/>
    </row>
    <row r="39" spans="1:2" ht="15.75" customHeight="1" x14ac:dyDescent="0.25">
      <c r="A39" s="58"/>
      <c r="B39" s="58"/>
    </row>
    <row r="40" spans="1:2" ht="15.75" customHeight="1" x14ac:dyDescent="0.25">
      <c r="A40" s="58"/>
      <c r="B40" s="58"/>
    </row>
    <row r="41" spans="1:2" ht="15.75" customHeight="1" x14ac:dyDescent="0.25">
      <c r="A41" s="58"/>
      <c r="B41" s="58"/>
    </row>
    <row r="42" spans="1:2" ht="15.75" customHeight="1" x14ac:dyDescent="0.25">
      <c r="A42" s="58"/>
      <c r="B42" s="58"/>
    </row>
    <row r="43" spans="1:2" ht="15.75" customHeight="1" x14ac:dyDescent="0.25">
      <c r="A43" s="58"/>
      <c r="B43" s="58"/>
    </row>
    <row r="44" spans="1:2" ht="15.75" customHeight="1" x14ac:dyDescent="0.25">
      <c r="A44" s="58"/>
      <c r="B44" s="58"/>
    </row>
    <row r="45" spans="1:2" ht="15.75" customHeight="1" x14ac:dyDescent="0.25">
      <c r="A45" s="58"/>
      <c r="B45" s="58"/>
    </row>
    <row r="46" spans="1:2" ht="15.75" customHeight="1" x14ac:dyDescent="0.25">
      <c r="A46" s="58"/>
      <c r="B46" s="58"/>
    </row>
    <row r="47" spans="1:2" ht="15.75" customHeight="1" x14ac:dyDescent="0.25">
      <c r="A47" s="58"/>
      <c r="B47" s="58"/>
    </row>
    <row r="48" spans="1:2" ht="15.75" customHeight="1" x14ac:dyDescent="0.25">
      <c r="A48" s="58"/>
      <c r="B48" s="58"/>
    </row>
    <row r="49" spans="1:2" ht="15.75" customHeight="1" x14ac:dyDescent="0.25">
      <c r="A49" s="58"/>
      <c r="B49" s="58"/>
    </row>
    <row r="50" spans="1:2" ht="15.75" customHeight="1" x14ac:dyDescent="0.25">
      <c r="A50" s="58"/>
      <c r="B50" s="58"/>
    </row>
    <row r="51" spans="1:2" ht="15.75" customHeight="1" x14ac:dyDescent="0.25">
      <c r="A51" s="58"/>
      <c r="B51" s="58"/>
    </row>
    <row r="52" spans="1:2" ht="15.75" customHeight="1" x14ac:dyDescent="0.25">
      <c r="A52" s="58"/>
      <c r="B52" s="58"/>
    </row>
    <row r="53" spans="1:2" ht="15.75" customHeight="1" x14ac:dyDescent="0.25">
      <c r="A53" s="58"/>
      <c r="B53" s="58"/>
    </row>
    <row r="54" spans="1:2" ht="15.75" customHeight="1" x14ac:dyDescent="0.25">
      <c r="A54" s="58"/>
      <c r="B54" s="58"/>
    </row>
    <row r="55" spans="1:2" ht="15.75" customHeight="1" x14ac:dyDescent="0.25">
      <c r="A55" s="58"/>
      <c r="B55" s="58"/>
    </row>
    <row r="56" spans="1:2" ht="15.75" customHeight="1" x14ac:dyDescent="0.25">
      <c r="A56" s="58"/>
      <c r="B56" s="58"/>
    </row>
    <row r="57" spans="1:2" ht="15.75" customHeight="1" x14ac:dyDescent="0.25">
      <c r="A57" s="58"/>
      <c r="B57" s="58"/>
    </row>
    <row r="58" spans="1:2" ht="15.75" customHeight="1" x14ac:dyDescent="0.25">
      <c r="A58" s="58"/>
      <c r="B58" s="58"/>
    </row>
    <row r="59" spans="1:2" ht="15.75" customHeight="1" x14ac:dyDescent="0.25">
      <c r="A59" s="58"/>
      <c r="B59" s="58"/>
    </row>
    <row r="60" spans="1:2" ht="15.75" customHeight="1" x14ac:dyDescent="0.25">
      <c r="A60" s="58"/>
      <c r="B60" s="58"/>
    </row>
    <row r="61" spans="1:2" ht="15.75" customHeight="1" x14ac:dyDescent="0.25">
      <c r="A61" s="58"/>
      <c r="B61" s="58"/>
    </row>
    <row r="62" spans="1:2" ht="15.75" customHeight="1" x14ac:dyDescent="0.25">
      <c r="A62" s="58"/>
      <c r="B62" s="58"/>
    </row>
    <row r="63" spans="1:2" ht="15.75" customHeight="1" x14ac:dyDescent="0.25">
      <c r="A63" s="58"/>
      <c r="B63" s="58"/>
    </row>
    <row r="64" spans="1:2" ht="15.75" customHeight="1" x14ac:dyDescent="0.25">
      <c r="A64" s="58"/>
      <c r="B64" s="58"/>
    </row>
    <row r="65" spans="1:2" ht="15.75" customHeight="1" x14ac:dyDescent="0.25">
      <c r="A65" s="58"/>
      <c r="B65" s="58"/>
    </row>
    <row r="66" spans="1:2" ht="15.75" customHeight="1" x14ac:dyDescent="0.25">
      <c r="A66" s="58"/>
      <c r="B66" s="58"/>
    </row>
    <row r="67" spans="1:2" ht="15.75" customHeight="1" x14ac:dyDescent="0.25">
      <c r="A67" s="58"/>
      <c r="B67" s="58"/>
    </row>
    <row r="68" spans="1:2" ht="15.75" customHeight="1" x14ac:dyDescent="0.25">
      <c r="A68" s="58"/>
      <c r="B68" s="58"/>
    </row>
    <row r="69" spans="1:2" ht="15.75" customHeight="1" x14ac:dyDescent="0.25">
      <c r="A69" s="58"/>
      <c r="B69" s="58"/>
    </row>
    <row r="70" spans="1:2" ht="15.75" customHeight="1" x14ac:dyDescent="0.25">
      <c r="A70" s="58"/>
      <c r="B70" s="58"/>
    </row>
    <row r="71" spans="1:2" ht="15.75" customHeight="1" x14ac:dyDescent="0.25">
      <c r="A71" s="58"/>
      <c r="B71" s="58"/>
    </row>
    <row r="72" spans="1:2" ht="15.75" customHeight="1" x14ac:dyDescent="0.25">
      <c r="A72" s="58"/>
      <c r="B72" s="58"/>
    </row>
    <row r="73" spans="1:2" ht="15.75" customHeight="1" x14ac:dyDescent="0.25">
      <c r="A73" s="58"/>
      <c r="B73" s="58"/>
    </row>
    <row r="74" spans="1:2" ht="15.75" customHeight="1" x14ac:dyDescent="0.25">
      <c r="A74" s="58"/>
      <c r="B74" s="58"/>
    </row>
    <row r="75" spans="1:2" ht="15.75" customHeight="1" x14ac:dyDescent="0.25">
      <c r="A75" s="58"/>
      <c r="B75" s="58"/>
    </row>
    <row r="76" spans="1:2" ht="15.75" customHeight="1" x14ac:dyDescent="0.25">
      <c r="A76" s="58"/>
      <c r="B76" s="58"/>
    </row>
    <row r="77" spans="1:2" ht="15.75" customHeight="1" x14ac:dyDescent="0.25">
      <c r="A77" s="58"/>
      <c r="B77" s="58"/>
    </row>
    <row r="78" spans="1:2" ht="15.75" customHeight="1" x14ac:dyDescent="0.25">
      <c r="A78" s="58"/>
      <c r="B78" s="58"/>
    </row>
    <row r="79" spans="1:2" ht="15.75" customHeight="1" x14ac:dyDescent="0.25">
      <c r="A79" s="58"/>
      <c r="B79" s="58"/>
    </row>
    <row r="80" spans="1:2" ht="15.75" customHeight="1" x14ac:dyDescent="0.25">
      <c r="A80" s="58"/>
      <c r="B80" s="58"/>
    </row>
    <row r="81" spans="1:2" ht="15.75" customHeight="1" x14ac:dyDescent="0.25">
      <c r="A81" s="58"/>
      <c r="B81" s="58"/>
    </row>
    <row r="82" spans="1:2" ht="15.75" customHeight="1" x14ac:dyDescent="0.25">
      <c r="A82" s="58"/>
      <c r="B82" s="58"/>
    </row>
    <row r="83" spans="1:2" ht="15.75" customHeight="1" x14ac:dyDescent="0.25">
      <c r="A83" s="58"/>
      <c r="B83" s="58"/>
    </row>
    <row r="84" spans="1:2" ht="15.75" customHeight="1" x14ac:dyDescent="0.25">
      <c r="A84" s="58"/>
      <c r="B84" s="58"/>
    </row>
    <row r="85" spans="1:2" ht="15.75" customHeight="1" x14ac:dyDescent="0.25">
      <c r="A85" s="58"/>
      <c r="B85" s="58"/>
    </row>
    <row r="86" spans="1:2" ht="15.75" customHeight="1" x14ac:dyDescent="0.25">
      <c r="A86" s="58"/>
      <c r="B86" s="58"/>
    </row>
    <row r="87" spans="1:2" ht="15.75" customHeight="1" x14ac:dyDescent="0.25">
      <c r="A87" s="58"/>
      <c r="B87" s="58"/>
    </row>
    <row r="88" spans="1:2" ht="15.75" customHeight="1" x14ac:dyDescent="0.25">
      <c r="A88" s="58"/>
      <c r="B88" s="58"/>
    </row>
    <row r="89" spans="1:2" ht="15.75" customHeight="1" x14ac:dyDescent="0.25">
      <c r="A89" s="58"/>
      <c r="B89" s="58"/>
    </row>
    <row r="90" spans="1:2" ht="15.75" customHeight="1" x14ac:dyDescent="0.25">
      <c r="A90" s="58"/>
      <c r="B90" s="58"/>
    </row>
    <row r="91" spans="1:2" ht="15.75" customHeight="1" x14ac:dyDescent="0.25">
      <c r="A91" s="58"/>
      <c r="B91" s="58"/>
    </row>
    <row r="92" spans="1:2" ht="15.75" customHeight="1" x14ac:dyDescent="0.25">
      <c r="A92" s="58"/>
      <c r="B92" s="58"/>
    </row>
    <row r="93" spans="1:2" ht="15.75" customHeight="1" x14ac:dyDescent="0.25">
      <c r="A93" s="58"/>
      <c r="B93" s="58"/>
    </row>
    <row r="94" spans="1:2" ht="15.75" customHeight="1" x14ac:dyDescent="0.25">
      <c r="A94" s="58"/>
      <c r="B94" s="58"/>
    </row>
    <row r="95" spans="1:2" ht="15.75" customHeight="1" x14ac:dyDescent="0.25">
      <c r="A95" s="58"/>
      <c r="B95" s="58"/>
    </row>
    <row r="96" spans="1:2" ht="15.75" customHeight="1" x14ac:dyDescent="0.25">
      <c r="A96" s="58"/>
      <c r="B96" s="58"/>
    </row>
    <row r="97" spans="1:2" ht="15.75" customHeight="1" x14ac:dyDescent="0.25">
      <c r="A97" s="58"/>
      <c r="B97" s="58"/>
    </row>
    <row r="98" spans="1:2" ht="15.75" customHeight="1" x14ac:dyDescent="0.25">
      <c r="A98" s="58"/>
      <c r="B98" s="58"/>
    </row>
    <row r="99" spans="1:2" ht="15.75" customHeight="1" x14ac:dyDescent="0.25">
      <c r="A99" s="58"/>
      <c r="B99" s="58"/>
    </row>
    <row r="100" spans="1:2" ht="15.75" customHeight="1" x14ac:dyDescent="0.25">
      <c r="A100" s="58"/>
      <c r="B100" s="58"/>
    </row>
    <row r="101" spans="1:2" ht="15.75" customHeight="1" x14ac:dyDescent="0.25">
      <c r="A101" s="58"/>
      <c r="B101" s="58"/>
    </row>
    <row r="102" spans="1:2" ht="15.75" customHeight="1" x14ac:dyDescent="0.25">
      <c r="A102" s="58"/>
      <c r="B102" s="58"/>
    </row>
    <row r="103" spans="1:2" ht="15.75" customHeight="1" x14ac:dyDescent="0.25">
      <c r="A103" s="58"/>
      <c r="B103" s="58"/>
    </row>
    <row r="104" spans="1:2" ht="15.75" customHeight="1" x14ac:dyDescent="0.25">
      <c r="A104" s="58"/>
      <c r="B104" s="58"/>
    </row>
    <row r="105" spans="1:2" ht="15.75" customHeight="1" x14ac:dyDescent="0.25">
      <c r="A105" s="58"/>
      <c r="B105" s="58"/>
    </row>
    <row r="106" spans="1:2" ht="15.75" customHeight="1" x14ac:dyDescent="0.25">
      <c r="A106" s="58"/>
      <c r="B106" s="58"/>
    </row>
    <row r="107" spans="1:2" ht="15.75" customHeight="1" x14ac:dyDescent="0.25">
      <c r="A107" s="58"/>
      <c r="B107" s="58"/>
    </row>
    <row r="108" spans="1:2" ht="15.75" customHeight="1" x14ac:dyDescent="0.25">
      <c r="A108" s="58"/>
      <c r="B108" s="58"/>
    </row>
    <row r="109" spans="1:2" ht="15.75" customHeight="1" x14ac:dyDescent="0.25">
      <c r="A109" s="58"/>
      <c r="B109" s="58"/>
    </row>
    <row r="110" spans="1:2" ht="15.75" customHeight="1" x14ac:dyDescent="0.25">
      <c r="A110" s="58"/>
      <c r="B110" s="58"/>
    </row>
    <row r="111" spans="1:2" ht="15.75" customHeight="1" x14ac:dyDescent="0.25">
      <c r="A111" s="58"/>
      <c r="B111" s="58"/>
    </row>
    <row r="112" spans="1:2" ht="15.75" customHeight="1" x14ac:dyDescent="0.25">
      <c r="A112" s="58"/>
      <c r="B112" s="58"/>
    </row>
    <row r="113" spans="1:2" ht="15.75" customHeight="1" x14ac:dyDescent="0.25">
      <c r="A113" s="58"/>
      <c r="B113" s="58"/>
    </row>
    <row r="114" spans="1:2" ht="15.75" customHeight="1" x14ac:dyDescent="0.25">
      <c r="A114" s="58"/>
      <c r="B114" s="58"/>
    </row>
    <row r="115" spans="1:2" ht="15.75" customHeight="1" x14ac:dyDescent="0.25">
      <c r="A115" s="58"/>
      <c r="B115" s="58"/>
    </row>
    <row r="116" spans="1:2" ht="15.75" customHeight="1" x14ac:dyDescent="0.25">
      <c r="A116" s="58"/>
      <c r="B116" s="58"/>
    </row>
    <row r="117" spans="1:2" ht="15.75" customHeight="1" x14ac:dyDescent="0.25">
      <c r="A117" s="58"/>
      <c r="B117" s="58"/>
    </row>
    <row r="118" spans="1:2" ht="15.75" customHeight="1" x14ac:dyDescent="0.25">
      <c r="A118" s="58"/>
      <c r="B118" s="58"/>
    </row>
    <row r="119" spans="1:2" ht="15.75" customHeight="1" x14ac:dyDescent="0.25">
      <c r="A119" s="58"/>
      <c r="B119" s="58"/>
    </row>
    <row r="120" spans="1:2" ht="15.75" customHeight="1" x14ac:dyDescent="0.25">
      <c r="A120" s="58"/>
      <c r="B120" s="58"/>
    </row>
    <row r="121" spans="1:2" ht="15.75" customHeight="1" x14ac:dyDescent="0.25">
      <c r="A121" s="58"/>
      <c r="B121" s="58"/>
    </row>
    <row r="122" spans="1:2" ht="15.75" customHeight="1" x14ac:dyDescent="0.25">
      <c r="A122" s="58"/>
      <c r="B122" s="58"/>
    </row>
    <row r="123" spans="1:2" ht="15.75" customHeight="1" x14ac:dyDescent="0.25">
      <c r="A123" s="58"/>
      <c r="B123" s="58"/>
    </row>
    <row r="124" spans="1:2" ht="15.75" customHeight="1" x14ac:dyDescent="0.25">
      <c r="A124" s="58"/>
      <c r="B124" s="58"/>
    </row>
    <row r="125" spans="1:2" ht="15.75" customHeight="1" x14ac:dyDescent="0.25">
      <c r="A125" s="58"/>
      <c r="B125" s="58"/>
    </row>
    <row r="126" spans="1:2" ht="15.75" customHeight="1" x14ac:dyDescent="0.25">
      <c r="A126" s="58"/>
      <c r="B126" s="58"/>
    </row>
    <row r="127" spans="1:2" ht="15.75" customHeight="1" x14ac:dyDescent="0.25">
      <c r="A127" s="58"/>
      <c r="B127" s="58"/>
    </row>
    <row r="128" spans="1:2" ht="15.75" customHeight="1" x14ac:dyDescent="0.25">
      <c r="A128" s="58"/>
      <c r="B128" s="58"/>
    </row>
    <row r="129" spans="1:2" ht="15.75" customHeight="1" x14ac:dyDescent="0.25">
      <c r="A129" s="58"/>
      <c r="B129" s="58"/>
    </row>
    <row r="130" spans="1:2" ht="15.75" customHeight="1" x14ac:dyDescent="0.25">
      <c r="A130" s="58"/>
      <c r="B130" s="58"/>
    </row>
    <row r="131" spans="1:2" ht="15.75" customHeight="1" x14ac:dyDescent="0.25">
      <c r="A131" s="58"/>
      <c r="B131" s="58"/>
    </row>
    <row r="132" spans="1:2" ht="15.75" customHeight="1" x14ac:dyDescent="0.25">
      <c r="A132" s="58"/>
      <c r="B132" s="58"/>
    </row>
    <row r="133" spans="1:2" ht="15.75" customHeight="1" x14ac:dyDescent="0.25">
      <c r="A133" s="58"/>
      <c r="B133" s="58"/>
    </row>
    <row r="134" spans="1:2" ht="15.75" customHeight="1" x14ac:dyDescent="0.25">
      <c r="A134" s="58"/>
      <c r="B134" s="58"/>
    </row>
    <row r="135" spans="1:2" ht="15.75" customHeight="1" x14ac:dyDescent="0.25">
      <c r="A135" s="58"/>
      <c r="B135" s="58"/>
    </row>
    <row r="136" spans="1:2" ht="15.75" customHeight="1" x14ac:dyDescent="0.25">
      <c r="A136" s="58"/>
      <c r="B136" s="58"/>
    </row>
    <row r="137" spans="1:2" ht="15.75" customHeight="1" x14ac:dyDescent="0.25">
      <c r="A137" s="58"/>
      <c r="B137" s="58"/>
    </row>
    <row r="138" spans="1:2" ht="15.75" customHeight="1" x14ac:dyDescent="0.25">
      <c r="A138" s="58"/>
      <c r="B138" s="58"/>
    </row>
    <row r="139" spans="1:2" ht="15.75" customHeight="1" x14ac:dyDescent="0.25">
      <c r="A139" s="58"/>
      <c r="B139" s="58"/>
    </row>
    <row r="140" spans="1:2" ht="15.75" customHeight="1" x14ac:dyDescent="0.25">
      <c r="A140" s="58"/>
      <c r="B140" s="58"/>
    </row>
    <row r="141" spans="1:2" ht="15.75" customHeight="1" x14ac:dyDescent="0.25">
      <c r="A141" s="58"/>
      <c r="B141" s="58"/>
    </row>
    <row r="142" spans="1:2" ht="15.75" customHeight="1" x14ac:dyDescent="0.25">
      <c r="A142" s="58"/>
      <c r="B142" s="58"/>
    </row>
    <row r="143" spans="1:2" ht="15.75" customHeight="1" x14ac:dyDescent="0.25">
      <c r="A143" s="58"/>
      <c r="B143" s="58"/>
    </row>
    <row r="144" spans="1:2" ht="15.75" customHeight="1" x14ac:dyDescent="0.25">
      <c r="A144" s="58"/>
      <c r="B144" s="58"/>
    </row>
    <row r="145" spans="1:2" ht="15.75" customHeight="1" x14ac:dyDescent="0.25">
      <c r="A145" s="58"/>
      <c r="B145" s="58"/>
    </row>
    <row r="146" spans="1:2" ht="15.75" customHeight="1" x14ac:dyDescent="0.25">
      <c r="A146" s="58"/>
      <c r="B146" s="58"/>
    </row>
    <row r="147" spans="1:2" ht="15.75" customHeight="1" x14ac:dyDescent="0.25">
      <c r="A147" s="58"/>
      <c r="B147" s="58"/>
    </row>
    <row r="148" spans="1:2" ht="15.75" customHeight="1" x14ac:dyDescent="0.25">
      <c r="A148" s="58"/>
      <c r="B148" s="58"/>
    </row>
    <row r="149" spans="1:2" ht="15.75" customHeight="1" x14ac:dyDescent="0.25">
      <c r="A149" s="58"/>
      <c r="B149" s="58"/>
    </row>
    <row r="150" spans="1:2" ht="15.75" customHeight="1" x14ac:dyDescent="0.25">
      <c r="A150" s="58"/>
      <c r="B150" s="58"/>
    </row>
    <row r="151" spans="1:2" ht="15.75" customHeight="1" x14ac:dyDescent="0.25">
      <c r="A151" s="58"/>
      <c r="B151" s="58"/>
    </row>
    <row r="152" spans="1:2" ht="15.75" customHeight="1" x14ac:dyDescent="0.25">
      <c r="A152" s="58"/>
      <c r="B152" s="58"/>
    </row>
    <row r="153" spans="1:2" ht="15.75" customHeight="1" x14ac:dyDescent="0.25">
      <c r="A153" s="58"/>
      <c r="B153" s="58"/>
    </row>
    <row r="154" spans="1:2" ht="15.75" customHeight="1" x14ac:dyDescent="0.25">
      <c r="A154" s="58"/>
      <c r="B154" s="58"/>
    </row>
    <row r="155" spans="1:2" ht="15.75" customHeight="1" x14ac:dyDescent="0.25">
      <c r="A155" s="58"/>
      <c r="B155" s="58"/>
    </row>
    <row r="156" spans="1:2" ht="15.75" customHeight="1" x14ac:dyDescent="0.25">
      <c r="A156" s="58"/>
      <c r="B156" s="58"/>
    </row>
    <row r="157" spans="1:2" ht="15.75" customHeight="1" x14ac:dyDescent="0.25">
      <c r="A157" s="58"/>
      <c r="B157" s="58"/>
    </row>
    <row r="158" spans="1:2" ht="15.75" customHeight="1" x14ac:dyDescent="0.25">
      <c r="A158" s="58"/>
      <c r="B158" s="58"/>
    </row>
    <row r="159" spans="1:2" ht="15.75" customHeight="1" x14ac:dyDescent="0.25">
      <c r="A159" s="58"/>
      <c r="B159" s="58"/>
    </row>
    <row r="160" spans="1:2" ht="15.75" customHeight="1" x14ac:dyDescent="0.25">
      <c r="A160" s="58"/>
      <c r="B160" s="58"/>
    </row>
    <row r="161" spans="1:2" ht="15.75" customHeight="1" x14ac:dyDescent="0.25">
      <c r="A161" s="58"/>
      <c r="B161" s="58"/>
    </row>
    <row r="162" spans="1:2" ht="15.75" customHeight="1" x14ac:dyDescent="0.25">
      <c r="A162" s="58"/>
      <c r="B162" s="58"/>
    </row>
    <row r="163" spans="1:2" ht="15.75" customHeight="1" x14ac:dyDescent="0.25">
      <c r="A163" s="58"/>
      <c r="B163" s="58"/>
    </row>
    <row r="164" spans="1:2" ht="15.75" customHeight="1" x14ac:dyDescent="0.25">
      <c r="A164" s="58"/>
      <c r="B164" s="58"/>
    </row>
    <row r="165" spans="1:2" ht="15.75" customHeight="1" x14ac:dyDescent="0.25">
      <c r="A165" s="58"/>
      <c r="B165" s="58"/>
    </row>
    <row r="166" spans="1:2" ht="15.75" customHeight="1" x14ac:dyDescent="0.25">
      <c r="A166" s="58"/>
      <c r="B166" s="58"/>
    </row>
    <row r="167" spans="1:2" ht="15.75" customHeight="1" x14ac:dyDescent="0.25">
      <c r="A167" s="58"/>
      <c r="B167" s="58"/>
    </row>
    <row r="168" spans="1:2" ht="15.75" customHeight="1" x14ac:dyDescent="0.25">
      <c r="A168" s="58"/>
      <c r="B168" s="58"/>
    </row>
    <row r="169" spans="1:2" ht="15.75" customHeight="1" x14ac:dyDescent="0.25">
      <c r="A169" s="58"/>
      <c r="B169" s="58"/>
    </row>
    <row r="170" spans="1:2" ht="15.75" customHeight="1" x14ac:dyDescent="0.25">
      <c r="A170" s="58"/>
      <c r="B170" s="58"/>
    </row>
    <row r="171" spans="1:2" ht="15.75" customHeight="1" x14ac:dyDescent="0.25">
      <c r="A171" s="58"/>
      <c r="B171" s="58"/>
    </row>
    <row r="172" spans="1:2" ht="15.75" customHeight="1" x14ac:dyDescent="0.25">
      <c r="A172" s="58"/>
      <c r="B172" s="58"/>
    </row>
    <row r="173" spans="1:2" ht="15.75" customHeight="1" x14ac:dyDescent="0.25">
      <c r="A173" s="58"/>
      <c r="B173" s="58"/>
    </row>
    <row r="174" spans="1:2" ht="15.75" customHeight="1" x14ac:dyDescent="0.25">
      <c r="A174" s="58"/>
      <c r="B174" s="58"/>
    </row>
    <row r="175" spans="1:2" ht="15.75" customHeight="1" x14ac:dyDescent="0.25">
      <c r="A175" s="58"/>
      <c r="B175" s="58"/>
    </row>
    <row r="176" spans="1:2" ht="15.75" customHeight="1" x14ac:dyDescent="0.25">
      <c r="A176" s="58"/>
      <c r="B176" s="58"/>
    </row>
    <row r="177" spans="1:2" ht="15.75" customHeight="1" x14ac:dyDescent="0.25">
      <c r="A177" s="58"/>
      <c r="B177" s="58"/>
    </row>
    <row r="178" spans="1:2" ht="15.75" customHeight="1" x14ac:dyDescent="0.25">
      <c r="A178" s="58"/>
      <c r="B178" s="58"/>
    </row>
    <row r="179" spans="1:2" ht="15.75" customHeight="1" x14ac:dyDescent="0.25">
      <c r="A179" s="58"/>
      <c r="B179" s="58"/>
    </row>
    <row r="180" spans="1:2" ht="15.75" customHeight="1" x14ac:dyDescent="0.25">
      <c r="A180" s="58"/>
      <c r="B180" s="58"/>
    </row>
    <row r="181" spans="1:2" ht="15.75" customHeight="1" x14ac:dyDescent="0.25">
      <c r="A181" s="58"/>
      <c r="B181" s="58"/>
    </row>
    <row r="182" spans="1:2" ht="15.75" customHeight="1" x14ac:dyDescent="0.25">
      <c r="A182" s="58"/>
      <c r="B182" s="58"/>
    </row>
    <row r="183" spans="1:2" ht="15.75" customHeight="1" x14ac:dyDescent="0.25">
      <c r="A183" s="58"/>
      <c r="B183" s="58"/>
    </row>
    <row r="184" spans="1:2" ht="15.75" customHeight="1" x14ac:dyDescent="0.25">
      <c r="A184" s="58"/>
      <c r="B184" s="58"/>
    </row>
    <row r="185" spans="1:2" ht="15.75" customHeight="1" x14ac:dyDescent="0.25">
      <c r="A185" s="58"/>
      <c r="B185" s="58"/>
    </row>
    <row r="186" spans="1:2" ht="15.75" customHeight="1" x14ac:dyDescent="0.25">
      <c r="A186" s="58"/>
      <c r="B186" s="58"/>
    </row>
    <row r="187" spans="1:2" ht="15.75" customHeight="1" x14ac:dyDescent="0.25">
      <c r="A187" s="58"/>
      <c r="B187" s="58"/>
    </row>
    <row r="188" spans="1:2" ht="15.75" customHeight="1" x14ac:dyDescent="0.25">
      <c r="A188" s="58"/>
      <c r="B188" s="58"/>
    </row>
    <row r="189" spans="1:2" ht="15.75" customHeight="1" x14ac:dyDescent="0.25">
      <c r="A189" s="58"/>
      <c r="B189" s="58"/>
    </row>
    <row r="190" spans="1:2" ht="15.75" customHeight="1" x14ac:dyDescent="0.25">
      <c r="A190" s="58"/>
      <c r="B190" s="58"/>
    </row>
    <row r="191" spans="1:2" ht="15.75" customHeight="1" x14ac:dyDescent="0.25">
      <c r="A191" s="58"/>
      <c r="B191" s="58"/>
    </row>
    <row r="192" spans="1:2" ht="15.75" customHeight="1" x14ac:dyDescent="0.25">
      <c r="A192" s="58"/>
      <c r="B192" s="58"/>
    </row>
    <row r="193" spans="1:2" ht="15.75" customHeight="1" x14ac:dyDescent="0.25">
      <c r="A193" s="58"/>
      <c r="B193" s="58"/>
    </row>
    <row r="194" spans="1:2" ht="15.75" customHeight="1" x14ac:dyDescent="0.25">
      <c r="A194" s="58"/>
      <c r="B194" s="58"/>
    </row>
    <row r="195" spans="1:2" ht="15.75" customHeight="1" x14ac:dyDescent="0.25">
      <c r="A195" s="58"/>
      <c r="B195" s="58"/>
    </row>
    <row r="196" spans="1:2" ht="15.75" customHeight="1" x14ac:dyDescent="0.25">
      <c r="A196" s="58"/>
      <c r="B196" s="58"/>
    </row>
    <row r="197" spans="1:2" ht="15.75" customHeight="1" x14ac:dyDescent="0.25">
      <c r="A197" s="58"/>
      <c r="B197" s="58"/>
    </row>
    <row r="198" spans="1:2" ht="15.75" customHeight="1" x14ac:dyDescent="0.25">
      <c r="A198" s="58"/>
      <c r="B198" s="58"/>
    </row>
    <row r="199" spans="1:2" ht="15.75" customHeight="1" x14ac:dyDescent="0.25">
      <c r="A199" s="58"/>
      <c r="B199" s="58"/>
    </row>
    <row r="200" spans="1:2" ht="15.75" customHeight="1" x14ac:dyDescent="0.25">
      <c r="A200" s="58"/>
      <c r="B200" s="58"/>
    </row>
    <row r="201" spans="1:2" ht="15.75" customHeight="1" x14ac:dyDescent="0.25">
      <c r="A201" s="58"/>
      <c r="B201" s="58"/>
    </row>
    <row r="202" spans="1:2" ht="15.75" customHeight="1" x14ac:dyDescent="0.25">
      <c r="A202" s="58"/>
      <c r="B202" s="58"/>
    </row>
    <row r="203" spans="1:2" ht="15.75" customHeight="1" x14ac:dyDescent="0.25">
      <c r="A203" s="58"/>
      <c r="B203" s="58"/>
    </row>
    <row r="204" spans="1:2" ht="15.75" customHeight="1" x14ac:dyDescent="0.25">
      <c r="A204" s="58"/>
      <c r="B204" s="58"/>
    </row>
    <row r="205" spans="1:2" ht="15.75" customHeight="1" x14ac:dyDescent="0.25">
      <c r="A205" s="58"/>
      <c r="B205" s="58"/>
    </row>
    <row r="206" spans="1:2" ht="15.75" customHeight="1" x14ac:dyDescent="0.25">
      <c r="A206" s="58"/>
      <c r="B206" s="58"/>
    </row>
    <row r="207" spans="1:2" ht="15.75" customHeight="1" x14ac:dyDescent="0.25">
      <c r="A207" s="58"/>
      <c r="B207" s="58"/>
    </row>
    <row r="208" spans="1:2" ht="15.75" customHeight="1" x14ac:dyDescent="0.25">
      <c r="A208" s="58"/>
      <c r="B208" s="58"/>
    </row>
    <row r="209" spans="1:2" ht="15.75" customHeight="1" x14ac:dyDescent="0.25">
      <c r="A209" s="58"/>
      <c r="B209" s="58"/>
    </row>
    <row r="210" spans="1:2" ht="15.75" customHeight="1" x14ac:dyDescent="0.25">
      <c r="A210" s="58"/>
      <c r="B210" s="58"/>
    </row>
    <row r="211" spans="1:2" ht="15.75" customHeight="1" x14ac:dyDescent="0.25">
      <c r="A211" s="58"/>
      <c r="B211" s="58"/>
    </row>
    <row r="212" spans="1:2" ht="15.75" customHeight="1" x14ac:dyDescent="0.25">
      <c r="A212" s="58"/>
      <c r="B212" s="58"/>
    </row>
    <row r="213" spans="1:2" ht="15.75" customHeight="1" x14ac:dyDescent="0.25">
      <c r="A213" s="58"/>
      <c r="B213" s="58"/>
    </row>
    <row r="214" spans="1:2" ht="15.75" customHeight="1" x14ac:dyDescent="0.25">
      <c r="A214" s="58"/>
      <c r="B214" s="58"/>
    </row>
    <row r="215" spans="1:2" ht="15.75" customHeight="1" x14ac:dyDescent="0.25">
      <c r="A215" s="58"/>
      <c r="B215" s="58"/>
    </row>
    <row r="216" spans="1:2" ht="15.75" customHeight="1" x14ac:dyDescent="0.25">
      <c r="A216" s="58"/>
      <c r="B216" s="58"/>
    </row>
    <row r="217" spans="1:2" ht="15.75" customHeight="1" x14ac:dyDescent="0.25">
      <c r="A217" s="58"/>
      <c r="B217" s="58"/>
    </row>
    <row r="218" spans="1:2" ht="15.75" customHeight="1" x14ac:dyDescent="0.25">
      <c r="A218" s="58"/>
      <c r="B218" s="58"/>
    </row>
    <row r="219" spans="1:2" ht="15.75" customHeight="1" x14ac:dyDescent="0.25">
      <c r="A219" s="58"/>
      <c r="B219" s="58"/>
    </row>
    <row r="220" spans="1:2" ht="15.75" customHeight="1" x14ac:dyDescent="0.25">
      <c r="A220" s="58"/>
      <c r="B220" s="58"/>
    </row>
    <row r="221" spans="1:2" ht="15.75" customHeight="1" x14ac:dyDescent="0.25">
      <c r="A221" s="58"/>
      <c r="B221" s="58"/>
    </row>
    <row r="222" spans="1:2" ht="15.75" customHeight="1" x14ac:dyDescent="0.25">
      <c r="A222" s="58"/>
      <c r="B222" s="58"/>
    </row>
    <row r="223" spans="1:2" ht="15.75" customHeight="1" x14ac:dyDescent="0.25">
      <c r="A223" s="58"/>
      <c r="B223" s="58"/>
    </row>
    <row r="224" spans="1:2" ht="15.75" customHeight="1" x14ac:dyDescent="0.25">
      <c r="A224" s="58"/>
      <c r="B224" s="58"/>
    </row>
    <row r="225" spans="1:2" ht="15.75" customHeight="1" x14ac:dyDescent="0.25">
      <c r="A225" s="58"/>
      <c r="B225" s="58"/>
    </row>
    <row r="226" spans="1:2" ht="15.75" customHeight="1" x14ac:dyDescent="0.25">
      <c r="A226" s="58"/>
      <c r="B226" s="58"/>
    </row>
    <row r="227" spans="1:2" ht="15.75" customHeight="1" x14ac:dyDescent="0.25">
      <c r="A227" s="58"/>
      <c r="B227" s="58"/>
    </row>
    <row r="228" spans="1:2" ht="15.75" customHeight="1" x14ac:dyDescent="0.25">
      <c r="A228" s="58"/>
      <c r="B228" s="58"/>
    </row>
    <row r="229" spans="1:2" ht="15.75" customHeight="1" x14ac:dyDescent="0.25">
      <c r="A229" s="58"/>
      <c r="B229" s="58"/>
    </row>
    <row r="230" spans="1:2" ht="15.75" customHeight="1" x14ac:dyDescent="0.25">
      <c r="A230" s="58"/>
      <c r="B230" s="58"/>
    </row>
    <row r="231" spans="1:2" ht="15.75" customHeight="1" x14ac:dyDescent="0.25">
      <c r="A231" s="58"/>
      <c r="B231" s="58"/>
    </row>
    <row r="232" spans="1:2" ht="15.75" customHeight="1" x14ac:dyDescent="0.25">
      <c r="A232" s="58"/>
      <c r="B232" s="58"/>
    </row>
    <row r="233" spans="1:2" ht="15.75" customHeight="1" x14ac:dyDescent="0.25">
      <c r="A233" s="58"/>
      <c r="B233" s="58"/>
    </row>
    <row r="234" spans="1:2" ht="15.75" customHeight="1" x14ac:dyDescent="0.25">
      <c r="A234" s="58"/>
      <c r="B234" s="58"/>
    </row>
    <row r="235" spans="1:2" ht="15.75" customHeight="1" x14ac:dyDescent="0.25"/>
    <row r="236" spans="1:2" ht="15.75" customHeight="1" x14ac:dyDescent="0.25"/>
    <row r="237" spans="1:2" ht="15.75" customHeight="1" x14ac:dyDescent="0.25"/>
    <row r="238" spans="1:2" ht="15.75" customHeight="1" x14ac:dyDescent="0.25"/>
    <row r="239" spans="1:2" ht="15.75" customHeight="1" x14ac:dyDescent="0.25"/>
    <row r="240" spans="1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33:B33"/>
    <mergeCell ref="A34:B34"/>
    <mergeCell ref="A35:B35"/>
    <mergeCell ref="A10:B10"/>
    <mergeCell ref="A11:B11"/>
    <mergeCell ref="A14:B14"/>
    <mergeCell ref="A20:B20"/>
    <mergeCell ref="A21:B21"/>
    <mergeCell ref="A22:B22"/>
    <mergeCell ref="A25:B25"/>
    <mergeCell ref="A8:B8"/>
    <mergeCell ref="A9:B9"/>
    <mergeCell ref="A28:B28"/>
    <mergeCell ref="A29:B29"/>
    <mergeCell ref="A30:B30"/>
    <mergeCell ref="A1:B1"/>
    <mergeCell ref="A3:B3"/>
    <mergeCell ref="A4:B4"/>
    <mergeCell ref="A6:B6"/>
    <mergeCell ref="A7:B7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2"/>
  <sheetViews>
    <sheetView tabSelected="1" workbookViewId="0">
      <selection activeCell="E1" sqref="E1"/>
    </sheetView>
  </sheetViews>
  <sheetFormatPr defaultColWidth="12.6328125" defaultRowHeight="15" customHeight="1" x14ac:dyDescent="0.25"/>
  <cols>
    <col min="1" max="1" width="38.90625" customWidth="1"/>
    <col min="2" max="4" width="14.90625" customWidth="1"/>
    <col min="5" max="5" width="24.90625" customWidth="1"/>
    <col min="6" max="6" width="10.7265625" customWidth="1"/>
    <col min="7" max="7" width="39.453125" customWidth="1"/>
    <col min="8" max="8" width="16.26953125" customWidth="1"/>
    <col min="9" max="9" width="15.453125" customWidth="1"/>
    <col min="10" max="10" width="14.90625" customWidth="1"/>
    <col min="11" max="11" width="20.453125" customWidth="1"/>
    <col min="12" max="12" width="10.7265625" customWidth="1"/>
    <col min="13" max="13" width="39.453125" customWidth="1"/>
    <col min="14" max="14" width="16.08984375" customWidth="1"/>
    <col min="15" max="15" width="20.08984375" customWidth="1"/>
    <col min="16" max="16" width="18.453125" customWidth="1"/>
    <col min="17" max="17" width="25.36328125" customWidth="1"/>
    <col min="18" max="27" width="10.7265625" customWidth="1"/>
    <col min="28" max="28" width="14.453125" customWidth="1"/>
  </cols>
  <sheetData>
    <row r="1" spans="1:27" ht="15" customHeight="1" x14ac:dyDescent="0.25">
      <c r="A1" s="128"/>
      <c r="B1" s="126"/>
    </row>
    <row r="2" spans="1:27" ht="12.75" customHeight="1" x14ac:dyDescent="0.25">
      <c r="A2" s="127"/>
      <c r="B2" s="129"/>
      <c r="C2" s="2"/>
      <c r="D2" s="5"/>
      <c r="E2" s="1"/>
      <c r="F2" s="1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130"/>
      <c r="B3" s="5"/>
      <c r="C3" s="2"/>
      <c r="D3" s="5"/>
      <c r="E3" s="1"/>
      <c r="F3" s="1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 x14ac:dyDescent="0.25">
      <c r="A4" s="62"/>
      <c r="B4" s="5"/>
      <c r="C4" s="2"/>
      <c r="D4" s="5"/>
      <c r="E4" s="1"/>
      <c r="F4" s="1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104" t="s">
        <v>63</v>
      </c>
      <c r="B5" s="105"/>
      <c r="C5" s="105"/>
      <c r="D5" s="105"/>
      <c r="E5" s="106"/>
      <c r="F5" s="1"/>
      <c r="G5" s="104" t="s">
        <v>64</v>
      </c>
      <c r="H5" s="105"/>
      <c r="I5" s="105"/>
      <c r="J5" s="105"/>
      <c r="K5" s="106"/>
      <c r="L5" s="1"/>
      <c r="M5" s="104" t="s">
        <v>65</v>
      </c>
      <c r="N5" s="105"/>
      <c r="O5" s="105"/>
      <c r="P5" s="105"/>
      <c r="Q5" s="106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customHeight="1" x14ac:dyDescent="0.25">
      <c r="A6" s="107" t="s">
        <v>3</v>
      </c>
      <c r="B6" s="63" t="s">
        <v>4</v>
      </c>
      <c r="C6" s="64" t="s">
        <v>5</v>
      </c>
      <c r="D6" s="64" t="s">
        <v>6</v>
      </c>
      <c r="E6" s="124" t="s">
        <v>29</v>
      </c>
      <c r="F6" s="1"/>
      <c r="G6" s="107" t="s">
        <v>3</v>
      </c>
      <c r="H6" s="63" t="s">
        <v>4</v>
      </c>
      <c r="I6" s="64" t="s">
        <v>5</v>
      </c>
      <c r="J6" s="64" t="s">
        <v>6</v>
      </c>
      <c r="K6" s="124" t="s">
        <v>29</v>
      </c>
      <c r="L6" s="1"/>
      <c r="M6" s="107" t="s">
        <v>3</v>
      </c>
      <c r="N6" s="63" t="s">
        <v>4</v>
      </c>
      <c r="O6" s="64" t="s">
        <v>5</v>
      </c>
      <c r="P6" s="64" t="s">
        <v>6</v>
      </c>
      <c r="Q6" s="124" t="s">
        <v>66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 x14ac:dyDescent="0.25">
      <c r="A7" s="108"/>
      <c r="B7" s="65" t="s">
        <v>8</v>
      </c>
      <c r="C7" s="66" t="s">
        <v>8</v>
      </c>
      <c r="D7" s="66" t="s">
        <v>8</v>
      </c>
      <c r="E7" s="125"/>
      <c r="F7" s="1"/>
      <c r="G7" s="108"/>
      <c r="H7" s="65" t="s">
        <v>8</v>
      </c>
      <c r="I7" s="66" t="s">
        <v>8</v>
      </c>
      <c r="J7" s="66" t="s">
        <v>8</v>
      </c>
      <c r="K7" s="125"/>
      <c r="L7" s="1"/>
      <c r="M7" s="108"/>
      <c r="N7" s="65" t="s">
        <v>8</v>
      </c>
      <c r="O7" s="66" t="s">
        <v>8</v>
      </c>
      <c r="P7" s="66" t="s">
        <v>8</v>
      </c>
      <c r="Q7" s="125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customHeight="1" x14ac:dyDescent="0.25">
      <c r="A8" s="67" t="s">
        <v>9</v>
      </c>
      <c r="B8" s="8"/>
      <c r="C8" s="8"/>
      <c r="D8" s="8"/>
      <c r="E8" s="1"/>
      <c r="F8" s="1"/>
      <c r="G8" s="67" t="s">
        <v>9</v>
      </c>
      <c r="H8" s="8"/>
      <c r="I8" s="8"/>
      <c r="J8" s="8"/>
      <c r="K8" s="1"/>
      <c r="L8" s="1"/>
      <c r="M8" s="67" t="s">
        <v>9</v>
      </c>
      <c r="N8" s="8"/>
      <c r="O8" s="8"/>
      <c r="P8" s="8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customHeight="1" x14ac:dyDescent="0.25">
      <c r="A9" s="68" t="s">
        <v>10</v>
      </c>
      <c r="B9" s="8">
        <v>2362</v>
      </c>
      <c r="C9" s="8">
        <f t="shared" ref="C9:D9" si="0">C21</f>
        <v>2449.2366610002791</v>
      </c>
      <c r="D9" s="8">
        <f t="shared" si="0"/>
        <v>2542.0938796242499</v>
      </c>
      <c r="E9" s="1"/>
      <c r="F9" s="1"/>
      <c r="G9" s="68" t="s">
        <v>10</v>
      </c>
      <c r="H9" s="8">
        <v>2362</v>
      </c>
      <c r="I9" s="8">
        <f t="shared" ref="I9:J9" si="1">I21</f>
        <v>2414.1470338638273</v>
      </c>
      <c r="J9" s="8">
        <f t="shared" si="1"/>
        <v>2468.3024230753608</v>
      </c>
      <c r="K9" s="1"/>
      <c r="L9" s="1"/>
      <c r="M9" s="68" t="s">
        <v>10</v>
      </c>
      <c r="N9" s="8">
        <f t="shared" ref="N9:P9" si="2">B9-H9</f>
        <v>0</v>
      </c>
      <c r="O9" s="8">
        <f t="shared" si="2"/>
        <v>35.089627136451782</v>
      </c>
      <c r="P9" s="8">
        <f t="shared" si="2"/>
        <v>73.791456548889073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 x14ac:dyDescent="0.25">
      <c r="A10" s="69" t="s">
        <v>11</v>
      </c>
      <c r="B10" s="11">
        <v>-1795.9</v>
      </c>
      <c r="C10" s="11">
        <f t="shared" ref="C10:D10" si="3">-C24</f>
        <v>-1862.3323637411097</v>
      </c>
      <c r="D10" s="11">
        <f t="shared" si="3"/>
        <v>-1932.9384453027742</v>
      </c>
      <c r="E10" s="1"/>
      <c r="F10" s="1"/>
      <c r="G10" s="69" t="s">
        <v>11</v>
      </c>
      <c r="H10" s="11">
        <v>-1795.9</v>
      </c>
      <c r="I10" s="11">
        <f t="shared" ref="I10:J10" si="4">-I24</f>
        <v>-1835.6511739286341</v>
      </c>
      <c r="J10" s="11">
        <f t="shared" si="4"/>
        <v>-1876.8294461656849</v>
      </c>
      <c r="K10" s="1"/>
      <c r="L10" s="1"/>
      <c r="M10" s="69" t="s">
        <v>11</v>
      </c>
      <c r="N10" s="8">
        <f t="shared" ref="N10:P10" si="5">B10-H10</f>
        <v>0</v>
      </c>
      <c r="O10" s="11">
        <f t="shared" si="5"/>
        <v>-26.681189812475623</v>
      </c>
      <c r="P10" s="11">
        <f t="shared" si="5"/>
        <v>-56.108999137089313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customHeight="1" x14ac:dyDescent="0.25">
      <c r="A11" s="29" t="s">
        <v>12</v>
      </c>
      <c r="B11" s="13">
        <f t="shared" ref="B11:D11" si="6">SUM(B9:B10)</f>
        <v>566.09999999999991</v>
      </c>
      <c r="C11" s="13">
        <f t="shared" si="6"/>
        <v>586.90429725916943</v>
      </c>
      <c r="D11" s="13">
        <f t="shared" si="6"/>
        <v>609.1554343214757</v>
      </c>
      <c r="E11" s="1"/>
      <c r="F11" s="1"/>
      <c r="G11" s="29" t="s">
        <v>12</v>
      </c>
      <c r="H11" s="13">
        <f t="shared" ref="H11:J11" si="7">SUM(H9:H10)</f>
        <v>566.09999999999991</v>
      </c>
      <c r="I11" s="13">
        <f t="shared" si="7"/>
        <v>578.49585993519327</v>
      </c>
      <c r="J11" s="13">
        <f t="shared" si="7"/>
        <v>591.47297690967594</v>
      </c>
      <c r="K11" s="1"/>
      <c r="L11" s="1"/>
      <c r="M11" s="29" t="s">
        <v>12</v>
      </c>
      <c r="N11" s="8">
        <f t="shared" ref="N11:P11" si="8">B11-H11</f>
        <v>0</v>
      </c>
      <c r="O11" s="13">
        <f t="shared" si="8"/>
        <v>8.408437323976159</v>
      </c>
      <c r="P11" s="13">
        <f t="shared" si="8"/>
        <v>17.68245741179976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 x14ac:dyDescent="0.25">
      <c r="A12" s="68" t="s">
        <v>67</v>
      </c>
      <c r="B12" s="8">
        <v>-27</v>
      </c>
      <c r="C12" s="8">
        <v>-27</v>
      </c>
      <c r="D12" s="8">
        <v>-27</v>
      </c>
      <c r="E12" s="1"/>
      <c r="F12" s="1"/>
      <c r="G12" s="68" t="s">
        <v>67</v>
      </c>
      <c r="H12" s="8">
        <v>-27</v>
      </c>
      <c r="I12" s="8">
        <v>-27</v>
      </c>
      <c r="J12" s="8">
        <v>-27</v>
      </c>
      <c r="K12" s="1"/>
      <c r="L12" s="1"/>
      <c r="M12" s="68" t="s">
        <v>67</v>
      </c>
      <c r="N12" s="8">
        <f t="shared" ref="N12:P12" si="9">B12-H12</f>
        <v>0</v>
      </c>
      <c r="O12" s="8">
        <f t="shared" si="9"/>
        <v>0</v>
      </c>
      <c r="P12" s="8">
        <f t="shared" si="9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customHeight="1" x14ac:dyDescent="0.25">
      <c r="A13" s="68" t="s">
        <v>14</v>
      </c>
      <c r="B13" s="8">
        <v>-44.9</v>
      </c>
      <c r="C13" s="8">
        <v>-44.9</v>
      </c>
      <c r="D13" s="8">
        <v>-44.9</v>
      </c>
      <c r="E13" s="1"/>
      <c r="F13" s="1"/>
      <c r="G13" s="68" t="s">
        <v>14</v>
      </c>
      <c r="H13" s="8">
        <v>-44.9</v>
      </c>
      <c r="I13" s="8">
        <v>-44.9</v>
      </c>
      <c r="J13" s="8">
        <v>-44.9</v>
      </c>
      <c r="K13" s="1"/>
      <c r="L13" s="1"/>
      <c r="M13" s="68" t="s">
        <v>14</v>
      </c>
      <c r="N13" s="8">
        <f t="shared" ref="N13:P13" si="10">B13-H13</f>
        <v>0</v>
      </c>
      <c r="O13" s="8">
        <f t="shared" si="10"/>
        <v>0</v>
      </c>
      <c r="P13" s="8">
        <f t="shared" si="10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customHeight="1" x14ac:dyDescent="0.25">
      <c r="A14" s="70" t="s">
        <v>15</v>
      </c>
      <c r="B14" s="71">
        <v>-293.8</v>
      </c>
      <c r="C14" s="71">
        <v>-293.8</v>
      </c>
      <c r="D14" s="71">
        <v>-293.8</v>
      </c>
      <c r="E14" s="1"/>
      <c r="F14" s="1"/>
      <c r="G14" s="72" t="s">
        <v>15</v>
      </c>
      <c r="H14" s="15">
        <v>-293.8</v>
      </c>
      <c r="I14" s="15">
        <v>-293.8</v>
      </c>
      <c r="J14" s="15">
        <v>-293.8</v>
      </c>
      <c r="K14" s="1"/>
      <c r="L14" s="1"/>
      <c r="M14" s="72" t="s">
        <v>15</v>
      </c>
      <c r="N14" s="8">
        <f t="shared" ref="N14:P14" si="11">B14-H14</f>
        <v>0</v>
      </c>
      <c r="O14" s="15">
        <f t="shared" si="11"/>
        <v>0</v>
      </c>
      <c r="P14" s="15">
        <f t="shared" si="11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 x14ac:dyDescent="0.25">
      <c r="A15" s="73" t="s">
        <v>16</v>
      </c>
      <c r="B15" s="74">
        <f t="shared" ref="B15:D15" si="12">SUM(B11:B14)</f>
        <v>200.39999999999992</v>
      </c>
      <c r="C15" s="74">
        <f t="shared" si="12"/>
        <v>221.20429725916944</v>
      </c>
      <c r="D15" s="74">
        <f t="shared" si="12"/>
        <v>243.45543432147571</v>
      </c>
      <c r="E15" s="1"/>
      <c r="F15" s="1"/>
      <c r="G15" s="75" t="s">
        <v>16</v>
      </c>
      <c r="H15" s="13">
        <f t="shared" ref="H15:J15" si="13">SUM(H11:H14)</f>
        <v>200.39999999999992</v>
      </c>
      <c r="I15" s="13">
        <f t="shared" si="13"/>
        <v>212.79585993519328</v>
      </c>
      <c r="J15" s="13">
        <f t="shared" si="13"/>
        <v>225.77297690967595</v>
      </c>
      <c r="K15" s="1"/>
      <c r="L15" s="1"/>
      <c r="M15" s="75" t="s">
        <v>16</v>
      </c>
      <c r="N15" s="8">
        <f t="shared" ref="N15:P15" si="14">B15-H15</f>
        <v>0</v>
      </c>
      <c r="O15" s="40">
        <f t="shared" si="14"/>
        <v>8.408437323976159</v>
      </c>
      <c r="P15" s="40">
        <f t="shared" si="14"/>
        <v>17.68245741179976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51" customHeight="1" x14ac:dyDescent="0.25">
      <c r="A16" s="76" t="s">
        <v>68</v>
      </c>
      <c r="B16" s="77"/>
      <c r="C16" s="78">
        <f t="shared" ref="C16:D16" si="15">(C15-B15)/B15</f>
        <v>0.10381385857869024</v>
      </c>
      <c r="D16" s="78">
        <f t="shared" si="15"/>
        <v>0.10059088967985186</v>
      </c>
      <c r="E16" s="79" t="s">
        <v>69</v>
      </c>
      <c r="F16" s="1"/>
      <c r="G16" s="80" t="s">
        <v>70</v>
      </c>
      <c r="H16" s="81"/>
      <c r="I16" s="82">
        <f t="shared" ref="I16:J16" si="16">(I15-H15)/H15</f>
        <v>6.1855588498968869E-2</v>
      </c>
      <c r="J16" s="82">
        <f t="shared" si="16"/>
        <v>6.0983879002320981E-2</v>
      </c>
      <c r="K16" s="59" t="s">
        <v>71</v>
      </c>
      <c r="L16" s="1"/>
      <c r="M16" s="80" t="s">
        <v>70</v>
      </c>
      <c r="N16" s="81"/>
      <c r="O16" s="78">
        <f t="shared" ref="O16:P16" si="17">C16-I16</f>
        <v>4.1958270079721374E-2</v>
      </c>
      <c r="P16" s="78">
        <f t="shared" si="17"/>
        <v>3.9607010677530877E-2</v>
      </c>
      <c r="Q16" s="79" t="s">
        <v>72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 x14ac:dyDescent="0.25">
      <c r="A17" s="83"/>
      <c r="B17" s="84"/>
      <c r="C17" s="84"/>
      <c r="D17" s="84"/>
      <c r="E17" s="1"/>
      <c r="F17" s="1"/>
      <c r="G17" s="80"/>
      <c r="H17" s="18"/>
      <c r="I17" s="18"/>
      <c r="J17" s="18"/>
      <c r="K17" s="1"/>
      <c r="L17" s="1"/>
      <c r="M17" s="80"/>
      <c r="N17" s="18"/>
      <c r="O17" s="18"/>
      <c r="P17" s="18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 x14ac:dyDescent="0.25">
      <c r="A18" s="19" t="s">
        <v>17</v>
      </c>
      <c r="B18" s="38"/>
      <c r="C18" s="38"/>
      <c r="D18" s="38"/>
      <c r="E18" s="1"/>
      <c r="F18" s="1"/>
      <c r="G18" s="19" t="s">
        <v>17</v>
      </c>
      <c r="H18" s="38"/>
      <c r="I18" s="38"/>
      <c r="J18" s="38"/>
      <c r="K18" s="1"/>
      <c r="L18" s="1"/>
      <c r="M18" s="19" t="s">
        <v>17</v>
      </c>
      <c r="N18" s="38"/>
      <c r="O18" s="38"/>
      <c r="P18" s="3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6" customHeight="1" x14ac:dyDescent="0.25">
      <c r="A19" s="21" t="s">
        <v>18</v>
      </c>
      <c r="B19" s="85">
        <v>1354</v>
      </c>
      <c r="C19" s="86">
        <f>B19*(Comparables!$D$9+1)</f>
        <v>1441.2366610002794</v>
      </c>
      <c r="D19" s="86">
        <f>C19*(Comparables!$D$9+1)</f>
        <v>1534.0938796242497</v>
      </c>
      <c r="E19" s="87" t="s">
        <v>73</v>
      </c>
      <c r="F19" s="1"/>
      <c r="G19" s="21" t="s">
        <v>18</v>
      </c>
      <c r="H19" s="85">
        <v>1354</v>
      </c>
      <c r="I19" s="88">
        <f>H19*(Comparables!D3+1)</f>
        <v>1406.1470338638271</v>
      </c>
      <c r="J19" s="88">
        <f>I19*(Comparables!D3+1)</f>
        <v>1460.302423075361</v>
      </c>
      <c r="K19" s="79" t="s">
        <v>74</v>
      </c>
      <c r="L19" s="1"/>
      <c r="M19" s="21" t="s">
        <v>18</v>
      </c>
      <c r="N19" s="85">
        <v>1354</v>
      </c>
      <c r="O19" s="13">
        <f t="shared" ref="O19:P19" si="18">C19-I19</f>
        <v>35.089627136452236</v>
      </c>
      <c r="P19" s="13">
        <f t="shared" si="18"/>
        <v>73.791456548888618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 x14ac:dyDescent="0.25">
      <c r="A20" s="25" t="s">
        <v>19</v>
      </c>
      <c r="B20" s="89">
        <v>1008</v>
      </c>
      <c r="C20" s="90">
        <v>1008</v>
      </c>
      <c r="D20" s="91">
        <v>1008</v>
      </c>
      <c r="E20" s="1" t="s">
        <v>75</v>
      </c>
      <c r="F20" s="1"/>
      <c r="G20" s="25" t="s">
        <v>19</v>
      </c>
      <c r="H20" s="89">
        <v>1008</v>
      </c>
      <c r="I20" s="89">
        <v>1008</v>
      </c>
      <c r="J20" s="89">
        <v>1008</v>
      </c>
      <c r="K20" s="1"/>
      <c r="L20" s="1"/>
      <c r="M20" s="25" t="s">
        <v>19</v>
      </c>
      <c r="N20" s="89">
        <v>1008</v>
      </c>
      <c r="O20" s="40">
        <f t="shared" ref="O20:P20" si="19">C20-I20</f>
        <v>0</v>
      </c>
      <c r="P20" s="40">
        <f t="shared" si="19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25">
      <c r="A21" s="92" t="s">
        <v>10</v>
      </c>
      <c r="B21" s="41">
        <f t="shared" ref="B21:D21" si="20">SUM(B19:B20)</f>
        <v>2362</v>
      </c>
      <c r="C21" s="41">
        <f t="shared" si="20"/>
        <v>2449.2366610002791</v>
      </c>
      <c r="D21" s="41">
        <f t="shared" si="20"/>
        <v>2542.0938796242499</v>
      </c>
      <c r="E21" s="1"/>
      <c r="F21" s="1"/>
      <c r="G21" s="92" t="s">
        <v>10</v>
      </c>
      <c r="H21" s="41">
        <f t="shared" ref="H21:J21" si="21">SUM(H19:H20)</f>
        <v>2362</v>
      </c>
      <c r="I21" s="41">
        <f t="shared" si="21"/>
        <v>2414.1470338638273</v>
      </c>
      <c r="J21" s="41">
        <f t="shared" si="21"/>
        <v>2468.3024230753608</v>
      </c>
      <c r="K21" s="1"/>
      <c r="L21" s="1"/>
      <c r="M21" s="92" t="s">
        <v>10</v>
      </c>
      <c r="N21" s="41">
        <f>SUM(N19:N20)</f>
        <v>2362</v>
      </c>
      <c r="O21" s="40">
        <f t="shared" ref="O21:P21" si="22">C21-I21</f>
        <v>35.089627136451782</v>
      </c>
      <c r="P21" s="40">
        <f t="shared" si="22"/>
        <v>73.791456548889073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6" customHeight="1" x14ac:dyDescent="0.25">
      <c r="A22" s="25" t="s">
        <v>68</v>
      </c>
      <c r="B22" s="93"/>
      <c r="C22" s="94">
        <f t="shared" ref="C22:D22" si="23">(C21-B21)/B21</f>
        <v>3.6933387383691417E-2</v>
      </c>
      <c r="D22" s="94">
        <f t="shared" si="23"/>
        <v>3.7912717910260033E-2</v>
      </c>
      <c r="E22" s="1"/>
      <c r="F22" s="1"/>
      <c r="G22" s="25" t="s">
        <v>70</v>
      </c>
      <c r="H22" s="95"/>
      <c r="I22" s="96">
        <f t="shared" ref="I22:J22" si="24">(I21-H21)/H21</f>
        <v>2.2077491051578045E-2</v>
      </c>
      <c r="J22" s="96">
        <f t="shared" si="24"/>
        <v>2.2432514860065547E-2</v>
      </c>
      <c r="K22" s="79" t="s">
        <v>76</v>
      </c>
      <c r="L22" s="1"/>
      <c r="M22" s="25" t="s">
        <v>70</v>
      </c>
      <c r="N22" s="95"/>
      <c r="O22" s="97">
        <f t="shared" ref="O22:P22" si="25">C22-I22</f>
        <v>1.4855896332113372E-2</v>
      </c>
      <c r="P22" s="97">
        <f t="shared" si="25"/>
        <v>1.5480203050194485E-2</v>
      </c>
      <c r="Q22" s="79" t="s">
        <v>77</v>
      </c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customHeight="1" x14ac:dyDescent="0.25">
      <c r="A23" s="25"/>
      <c r="B23" s="13"/>
      <c r="C23" s="13"/>
      <c r="D23" s="13"/>
      <c r="E23" s="1"/>
      <c r="F23" s="1"/>
      <c r="G23" s="25"/>
      <c r="H23" s="43"/>
      <c r="I23" s="43"/>
      <c r="J23" s="44"/>
      <c r="K23" s="1"/>
      <c r="L23" s="1"/>
      <c r="M23" s="25"/>
      <c r="N23" s="43"/>
      <c r="O23" s="43"/>
      <c r="P23" s="44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0.25" customHeight="1" x14ac:dyDescent="0.25">
      <c r="A24" s="98" t="s">
        <v>11</v>
      </c>
      <c r="B24" s="41">
        <v>1796</v>
      </c>
      <c r="C24" s="41">
        <f t="shared" ref="C24:D24" si="26">(1796/2362)*C21</f>
        <v>1862.3323637411097</v>
      </c>
      <c r="D24" s="41">
        <f t="shared" si="26"/>
        <v>1932.9384453027742</v>
      </c>
      <c r="E24" s="59" t="s">
        <v>78</v>
      </c>
      <c r="F24" s="1"/>
      <c r="G24" s="98" t="s">
        <v>11</v>
      </c>
      <c r="H24" s="41">
        <v>1796</v>
      </c>
      <c r="I24" s="41">
        <f t="shared" ref="I24:J24" si="27">(1796/2362)*I21</f>
        <v>1835.6511739286341</v>
      </c>
      <c r="J24" s="41">
        <f t="shared" si="27"/>
        <v>1876.8294461656849</v>
      </c>
      <c r="K24" s="1"/>
      <c r="L24" s="1"/>
      <c r="M24" s="98" t="s">
        <v>11</v>
      </c>
      <c r="N24" s="41">
        <v>1796</v>
      </c>
      <c r="O24" s="41">
        <f t="shared" ref="O24:P24" si="28">C24-I24</f>
        <v>26.681189812475623</v>
      </c>
      <c r="P24" s="41">
        <f t="shared" si="28"/>
        <v>56.108999137089313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25">
      <c r="A25" s="99"/>
      <c r="B25" s="100"/>
      <c r="C25" s="100"/>
      <c r="D25" s="100"/>
      <c r="E25" s="1"/>
      <c r="F25" s="1"/>
      <c r="G25" s="99"/>
      <c r="H25" s="100"/>
      <c r="I25" s="100"/>
      <c r="J25" s="100"/>
      <c r="K25" s="1"/>
      <c r="L25" s="1"/>
      <c r="M25" s="99"/>
      <c r="N25" s="100"/>
      <c r="O25" s="100"/>
      <c r="P25" s="100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customHeight="1" x14ac:dyDescent="0.25">
      <c r="A26" s="33" t="s">
        <v>20</v>
      </c>
      <c r="B26" s="34">
        <v>2341</v>
      </c>
      <c r="C26" s="101">
        <f>B26*(Comparables!D10+1)</f>
        <v>2432.229818093756</v>
      </c>
      <c r="D26" s="101">
        <f>C26*(Comparables!D10+1)</f>
        <v>2527.0149030433085</v>
      </c>
      <c r="E26" s="87" t="s">
        <v>79</v>
      </c>
      <c r="F26" s="1"/>
      <c r="G26" s="33" t="s">
        <v>20</v>
      </c>
      <c r="H26" s="34">
        <v>2341</v>
      </c>
      <c r="I26" s="101">
        <f>H26*(Comparables!D4+1)</f>
        <v>2388.6119382258457</v>
      </c>
      <c r="J26" s="101">
        <f>I26*(Comparables!D4+1)</f>
        <v>2437.1922218859595</v>
      </c>
      <c r="K26" s="1"/>
      <c r="L26" s="1"/>
      <c r="M26" s="33" t="s">
        <v>20</v>
      </c>
      <c r="N26" s="34">
        <f t="shared" ref="N26:P26" si="29">B26-H26</f>
        <v>0</v>
      </c>
      <c r="O26" s="34">
        <f t="shared" si="29"/>
        <v>43.617879867910233</v>
      </c>
      <c r="P26" s="34">
        <f t="shared" si="29"/>
        <v>89.822681157349052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1.25" customHeight="1" x14ac:dyDescent="0.3">
      <c r="A27" s="35" t="s">
        <v>21</v>
      </c>
      <c r="B27" s="34">
        <f t="shared" ref="B27:D27" si="30">B19*1000/B26/12</f>
        <v>48.198775452086004</v>
      </c>
      <c r="C27" s="34">
        <f t="shared" si="30"/>
        <v>49.379813613783661</v>
      </c>
      <c r="D27" s="34">
        <f t="shared" si="30"/>
        <v>50.589791331026106</v>
      </c>
      <c r="E27" s="79" t="s">
        <v>80</v>
      </c>
      <c r="F27" s="1"/>
      <c r="G27" s="35" t="s">
        <v>21</v>
      </c>
      <c r="H27" s="34">
        <f t="shared" ref="H27:J27" si="31">H19*1000/H26/12</f>
        <v>48.198775452086004</v>
      </c>
      <c r="I27" s="34">
        <f t="shared" si="31"/>
        <v>49.057328071334815</v>
      </c>
      <c r="J27" s="34">
        <f t="shared" si="31"/>
        <v>49.931173871646955</v>
      </c>
      <c r="K27" s="59" t="s">
        <v>81</v>
      </c>
      <c r="L27" s="1"/>
      <c r="M27" s="35" t="s">
        <v>21</v>
      </c>
      <c r="N27" s="34">
        <f t="shared" ref="N27:P27" si="32">B27-H27</f>
        <v>0</v>
      </c>
      <c r="O27" s="102">
        <f t="shared" si="32"/>
        <v>0.32248554244884531</v>
      </c>
      <c r="P27" s="102">
        <f t="shared" si="32"/>
        <v>0.65861745937915117</v>
      </c>
      <c r="Q27" s="87" t="s">
        <v>82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 x14ac:dyDescent="0.25">
      <c r="A28" s="1"/>
      <c r="B28" s="103"/>
      <c r="C28" s="103"/>
      <c r="D28" s="10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 x14ac:dyDescent="0.25">
      <c r="A29" s="1"/>
      <c r="B29" s="103"/>
      <c r="C29" s="103"/>
      <c r="D29" s="10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25">
      <c r="A30" s="1"/>
      <c r="B30" s="103"/>
      <c r="C30" s="103"/>
      <c r="D30" s="10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25">
      <c r="A31" s="1"/>
      <c r="B31" s="103"/>
      <c r="C31" s="103"/>
      <c r="D31" s="10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25">
      <c r="A32" s="1"/>
      <c r="B32" s="103"/>
      <c r="C32" s="103"/>
      <c r="D32" s="10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 x14ac:dyDescent="0.25">
      <c r="A33" s="1"/>
      <c r="B33" s="103"/>
      <c r="C33" s="103"/>
      <c r="D33" s="10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25">
      <c r="A34" s="1"/>
      <c r="B34" s="103"/>
      <c r="C34" s="103"/>
      <c r="D34" s="10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25">
      <c r="A35" s="1"/>
      <c r="B35" s="103"/>
      <c r="C35" s="103"/>
      <c r="D35" s="10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5">
      <c r="A36" s="1"/>
      <c r="B36" s="103"/>
      <c r="C36" s="103"/>
      <c r="D36" s="10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5">
      <c r="A37" s="1"/>
      <c r="B37" s="103"/>
      <c r="C37" s="103"/>
      <c r="D37" s="10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5">
      <c r="A38" s="1"/>
      <c r="B38" s="103"/>
      <c r="C38" s="103"/>
      <c r="D38" s="10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03"/>
      <c r="C39" s="103"/>
      <c r="D39" s="10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03"/>
      <c r="C40" s="103"/>
      <c r="D40" s="10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03"/>
      <c r="C41" s="103"/>
      <c r="D41" s="10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03"/>
      <c r="C42" s="103"/>
      <c r="D42" s="10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03"/>
      <c r="C43" s="103"/>
      <c r="D43" s="10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03"/>
      <c r="C44" s="103"/>
      <c r="D44" s="10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03"/>
      <c r="C45" s="103"/>
      <c r="D45" s="10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03"/>
      <c r="C46" s="103"/>
      <c r="D46" s="10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03"/>
      <c r="C47" s="103"/>
      <c r="D47" s="10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03"/>
      <c r="C48" s="103"/>
      <c r="D48" s="10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03"/>
      <c r="C49" s="103"/>
      <c r="D49" s="10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03"/>
      <c r="C50" s="103"/>
      <c r="D50" s="10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03"/>
      <c r="C51" s="103"/>
      <c r="D51" s="10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03"/>
      <c r="C52" s="103"/>
      <c r="D52" s="10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03"/>
      <c r="C53" s="103"/>
      <c r="D53" s="10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03"/>
      <c r="C54" s="103"/>
      <c r="D54" s="10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03"/>
      <c r="C55" s="103"/>
      <c r="D55" s="10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03"/>
      <c r="C56" s="103"/>
      <c r="D56" s="10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03"/>
      <c r="C57" s="103"/>
      <c r="D57" s="10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03"/>
      <c r="C58" s="103"/>
      <c r="D58" s="10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03"/>
      <c r="C59" s="103"/>
      <c r="D59" s="10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03"/>
      <c r="C60" s="103"/>
      <c r="D60" s="10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03"/>
      <c r="C61" s="103"/>
      <c r="D61" s="10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03"/>
      <c r="C62" s="103"/>
      <c r="D62" s="10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03"/>
      <c r="C63" s="103"/>
      <c r="D63" s="10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03"/>
      <c r="C64" s="103"/>
      <c r="D64" s="10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03"/>
      <c r="C65" s="103"/>
      <c r="D65" s="10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03"/>
      <c r="C66" s="103"/>
      <c r="D66" s="10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03"/>
      <c r="C67" s="103"/>
      <c r="D67" s="10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03"/>
      <c r="C68" s="103"/>
      <c r="D68" s="10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03"/>
      <c r="C69" s="103"/>
      <c r="D69" s="10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03"/>
      <c r="C70" s="103"/>
      <c r="D70" s="10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03"/>
      <c r="C71" s="103"/>
      <c r="D71" s="10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03"/>
      <c r="C72" s="103"/>
      <c r="D72" s="10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03"/>
      <c r="C73" s="103"/>
      <c r="D73" s="10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03"/>
      <c r="C74" s="103"/>
      <c r="D74" s="10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03"/>
      <c r="C75" s="103"/>
      <c r="D75" s="10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03"/>
      <c r="C76" s="103"/>
      <c r="D76" s="10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03"/>
      <c r="C77" s="103"/>
      <c r="D77" s="10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03"/>
      <c r="C78" s="103"/>
      <c r="D78" s="10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03"/>
      <c r="C79" s="103"/>
      <c r="D79" s="10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03"/>
      <c r="C80" s="103"/>
      <c r="D80" s="10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03"/>
      <c r="C81" s="103"/>
      <c r="D81" s="10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03"/>
      <c r="C82" s="103"/>
      <c r="D82" s="10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03"/>
      <c r="C83" s="103"/>
      <c r="D83" s="10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03"/>
      <c r="C84" s="103"/>
      <c r="D84" s="10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03"/>
      <c r="C85" s="103"/>
      <c r="D85" s="10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03"/>
      <c r="C86" s="103"/>
      <c r="D86" s="10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03"/>
      <c r="C87" s="103"/>
      <c r="D87" s="10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03"/>
      <c r="C88" s="103"/>
      <c r="D88" s="10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03"/>
      <c r="C89" s="103"/>
      <c r="D89" s="10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03"/>
      <c r="C90" s="103"/>
      <c r="D90" s="10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03"/>
      <c r="C91" s="103"/>
      <c r="D91" s="10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03"/>
      <c r="C92" s="103"/>
      <c r="D92" s="10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03"/>
      <c r="C93" s="103"/>
      <c r="D93" s="10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03"/>
      <c r="C94" s="103"/>
      <c r="D94" s="10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03"/>
      <c r="C95" s="103"/>
      <c r="D95" s="10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03"/>
      <c r="C96" s="103"/>
      <c r="D96" s="10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03"/>
      <c r="C97" s="103"/>
      <c r="D97" s="10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03"/>
      <c r="C98" s="103"/>
      <c r="D98" s="10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03"/>
      <c r="C99" s="103"/>
      <c r="D99" s="10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03"/>
      <c r="C100" s="103"/>
      <c r="D100" s="10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03"/>
      <c r="C101" s="103"/>
      <c r="D101" s="10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03"/>
      <c r="C102" s="103"/>
      <c r="D102" s="10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03"/>
      <c r="C103" s="103"/>
      <c r="D103" s="10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03"/>
      <c r="C104" s="103"/>
      <c r="D104" s="10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03"/>
      <c r="C105" s="103"/>
      <c r="D105" s="10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03"/>
      <c r="C106" s="103"/>
      <c r="D106" s="10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03"/>
      <c r="C107" s="103"/>
      <c r="D107" s="10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03"/>
      <c r="C108" s="103"/>
      <c r="D108" s="10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03"/>
      <c r="C109" s="103"/>
      <c r="D109" s="10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03"/>
      <c r="C110" s="103"/>
      <c r="D110" s="10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03"/>
      <c r="C111" s="103"/>
      <c r="D111" s="10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03"/>
      <c r="C112" s="103"/>
      <c r="D112" s="10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03"/>
      <c r="C113" s="103"/>
      <c r="D113" s="10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03"/>
      <c r="C114" s="103"/>
      <c r="D114" s="10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03"/>
      <c r="C115" s="103"/>
      <c r="D115" s="10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03"/>
      <c r="C116" s="103"/>
      <c r="D116" s="10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03"/>
      <c r="C117" s="103"/>
      <c r="D117" s="10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03"/>
      <c r="C118" s="103"/>
      <c r="D118" s="10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03"/>
      <c r="C119" s="103"/>
      <c r="D119" s="10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03"/>
      <c r="C120" s="103"/>
      <c r="D120" s="10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03"/>
      <c r="C121" s="103"/>
      <c r="D121" s="10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03"/>
      <c r="C122" s="103"/>
      <c r="D122" s="10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03"/>
      <c r="C123" s="103"/>
      <c r="D123" s="10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03"/>
      <c r="C124" s="103"/>
      <c r="D124" s="10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03"/>
      <c r="C125" s="103"/>
      <c r="D125" s="10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03"/>
      <c r="C126" s="103"/>
      <c r="D126" s="10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03"/>
      <c r="C127" s="103"/>
      <c r="D127" s="10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03"/>
      <c r="C128" s="103"/>
      <c r="D128" s="10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03"/>
      <c r="C129" s="103"/>
      <c r="D129" s="10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03"/>
      <c r="C130" s="103"/>
      <c r="D130" s="10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03"/>
      <c r="C131" s="103"/>
      <c r="D131" s="10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03"/>
      <c r="C132" s="103"/>
      <c r="D132" s="10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03"/>
      <c r="C133" s="103"/>
      <c r="D133" s="10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03"/>
      <c r="C134" s="103"/>
      <c r="D134" s="10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03"/>
      <c r="C135" s="103"/>
      <c r="D135" s="10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03"/>
      <c r="C136" s="103"/>
      <c r="D136" s="10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03"/>
      <c r="C137" s="103"/>
      <c r="D137" s="10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03"/>
      <c r="C138" s="103"/>
      <c r="D138" s="10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03"/>
      <c r="C139" s="103"/>
      <c r="D139" s="10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03"/>
      <c r="C140" s="103"/>
      <c r="D140" s="10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03"/>
      <c r="C141" s="103"/>
      <c r="D141" s="10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03"/>
      <c r="C142" s="103"/>
      <c r="D142" s="10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03"/>
      <c r="C143" s="103"/>
      <c r="D143" s="10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03"/>
      <c r="C144" s="103"/>
      <c r="D144" s="10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03"/>
      <c r="C145" s="103"/>
      <c r="D145" s="10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03"/>
      <c r="C146" s="103"/>
      <c r="D146" s="10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03"/>
      <c r="C147" s="103"/>
      <c r="D147" s="10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03"/>
      <c r="C148" s="103"/>
      <c r="D148" s="10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03"/>
      <c r="C149" s="103"/>
      <c r="D149" s="10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03"/>
      <c r="C150" s="103"/>
      <c r="D150" s="10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03"/>
      <c r="C151" s="103"/>
      <c r="D151" s="10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03"/>
      <c r="C152" s="103"/>
      <c r="D152" s="10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03"/>
      <c r="C153" s="103"/>
      <c r="D153" s="10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03"/>
      <c r="C154" s="103"/>
      <c r="D154" s="10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03"/>
      <c r="C155" s="103"/>
      <c r="D155" s="10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03"/>
      <c r="C156" s="103"/>
      <c r="D156" s="10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03"/>
      <c r="C157" s="103"/>
      <c r="D157" s="10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03"/>
      <c r="C158" s="103"/>
      <c r="D158" s="10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03"/>
      <c r="C159" s="103"/>
      <c r="D159" s="10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03"/>
      <c r="C160" s="103"/>
      <c r="D160" s="10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03"/>
      <c r="C161" s="103"/>
      <c r="D161" s="10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03"/>
      <c r="C162" s="103"/>
      <c r="D162" s="10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03"/>
      <c r="C163" s="103"/>
      <c r="D163" s="10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03"/>
      <c r="C164" s="103"/>
      <c r="D164" s="10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03"/>
      <c r="C165" s="103"/>
      <c r="D165" s="10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03"/>
      <c r="C166" s="103"/>
      <c r="D166" s="10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03"/>
      <c r="C167" s="103"/>
      <c r="D167" s="10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03"/>
      <c r="C168" s="103"/>
      <c r="D168" s="10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03"/>
      <c r="C169" s="103"/>
      <c r="D169" s="10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03"/>
      <c r="C170" s="103"/>
      <c r="D170" s="10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03"/>
      <c r="C171" s="103"/>
      <c r="D171" s="10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03"/>
      <c r="C172" s="103"/>
      <c r="D172" s="10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03"/>
      <c r="C173" s="103"/>
      <c r="D173" s="10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03"/>
      <c r="C174" s="103"/>
      <c r="D174" s="10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03"/>
      <c r="C175" s="103"/>
      <c r="D175" s="10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03"/>
      <c r="C176" s="103"/>
      <c r="D176" s="10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03"/>
      <c r="C177" s="103"/>
      <c r="D177" s="10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03"/>
      <c r="C178" s="103"/>
      <c r="D178" s="10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03"/>
      <c r="C179" s="103"/>
      <c r="D179" s="10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03"/>
      <c r="C180" s="103"/>
      <c r="D180" s="10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03"/>
      <c r="C181" s="103"/>
      <c r="D181" s="10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03"/>
      <c r="C182" s="103"/>
      <c r="D182" s="10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03"/>
      <c r="C183" s="103"/>
      <c r="D183" s="10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03"/>
      <c r="C184" s="103"/>
      <c r="D184" s="10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03"/>
      <c r="C185" s="103"/>
      <c r="D185" s="10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03"/>
      <c r="C186" s="103"/>
      <c r="D186" s="10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03"/>
      <c r="C187" s="103"/>
      <c r="D187" s="10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03"/>
      <c r="C188" s="103"/>
      <c r="D188" s="10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03"/>
      <c r="C189" s="103"/>
      <c r="D189" s="10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03"/>
      <c r="C190" s="103"/>
      <c r="D190" s="10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03"/>
      <c r="C191" s="103"/>
      <c r="D191" s="10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03"/>
      <c r="C192" s="103"/>
      <c r="D192" s="10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03"/>
      <c r="C193" s="103"/>
      <c r="D193" s="10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03"/>
      <c r="C194" s="103"/>
      <c r="D194" s="10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03"/>
      <c r="C195" s="103"/>
      <c r="D195" s="10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03"/>
      <c r="C196" s="103"/>
      <c r="D196" s="10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03"/>
      <c r="C197" s="103"/>
      <c r="D197" s="10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03"/>
      <c r="C198" s="103"/>
      <c r="D198" s="10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03"/>
      <c r="C199" s="103"/>
      <c r="D199" s="10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03"/>
      <c r="C200" s="103"/>
      <c r="D200" s="10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03"/>
      <c r="C201" s="103"/>
      <c r="D201" s="10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03"/>
      <c r="C202" s="103"/>
      <c r="D202" s="10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03"/>
      <c r="C203" s="103"/>
      <c r="D203" s="10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03"/>
      <c r="C204" s="103"/>
      <c r="D204" s="10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03"/>
      <c r="C205" s="103"/>
      <c r="D205" s="10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03"/>
      <c r="C206" s="103"/>
      <c r="D206" s="10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03"/>
      <c r="C207" s="103"/>
      <c r="D207" s="10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03"/>
      <c r="C208" s="103"/>
      <c r="D208" s="10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03"/>
      <c r="C209" s="103"/>
      <c r="D209" s="10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03"/>
      <c r="C210" s="103"/>
      <c r="D210" s="10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03"/>
      <c r="C211" s="103"/>
      <c r="D211" s="10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03"/>
      <c r="C212" s="103"/>
      <c r="D212" s="10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03"/>
      <c r="C213" s="103"/>
      <c r="D213" s="10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03"/>
      <c r="C214" s="103"/>
      <c r="D214" s="10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03"/>
      <c r="C215" s="103"/>
      <c r="D215" s="10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03"/>
      <c r="C216" s="103"/>
      <c r="D216" s="10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03"/>
      <c r="C217" s="103"/>
      <c r="D217" s="10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03"/>
      <c r="C218" s="103"/>
      <c r="D218" s="10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03"/>
      <c r="C219" s="103"/>
      <c r="D219" s="10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03"/>
      <c r="C220" s="103"/>
      <c r="D220" s="10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03"/>
      <c r="C221" s="103"/>
      <c r="D221" s="10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03"/>
      <c r="C222" s="103"/>
      <c r="D222" s="10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03"/>
      <c r="C223" s="103"/>
      <c r="D223" s="10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03"/>
      <c r="C224" s="103"/>
      <c r="D224" s="10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03"/>
      <c r="C225" s="103"/>
      <c r="D225" s="10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03"/>
      <c r="C226" s="103"/>
      <c r="D226" s="10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/>
    <row r="229" spans="1:27" ht="15.75" customHeight="1" x14ac:dyDescent="0.25"/>
    <row r="230" spans="1:27" ht="15.75" customHeight="1" x14ac:dyDescent="0.25"/>
    <row r="231" spans="1:27" ht="15.75" customHeight="1" x14ac:dyDescent="0.25"/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9">
    <mergeCell ref="A5:E5"/>
    <mergeCell ref="G5:K5"/>
    <mergeCell ref="K6:K7"/>
    <mergeCell ref="M5:Q5"/>
    <mergeCell ref="M6:M7"/>
    <mergeCell ref="Q6:Q7"/>
    <mergeCell ref="A6:A7"/>
    <mergeCell ref="G6:G7"/>
    <mergeCell ref="E6:E7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A</vt:lpstr>
      <vt:lpstr>Company B</vt:lpstr>
      <vt:lpstr>Comparables</vt:lpstr>
      <vt:lpstr>Guiding Sheet</vt:lpstr>
      <vt:lpstr>Company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Shreya .</cp:lastModifiedBy>
  <dcterms:created xsi:type="dcterms:W3CDTF">2025-01-05T13:41:31Z</dcterms:created>
  <dcterms:modified xsi:type="dcterms:W3CDTF">2025-01-05T13:41:31Z</dcterms:modified>
</cp:coreProperties>
</file>